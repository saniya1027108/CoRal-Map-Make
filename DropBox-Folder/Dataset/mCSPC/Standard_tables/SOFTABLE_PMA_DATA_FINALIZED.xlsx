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air/Library/CloudStorage/Dropbox/Living Prostate Main/Living mCSPC/New Files/WEBSITE/2023_SEP/5. SoF/PWMA/"/>
    </mc:Choice>
  </mc:AlternateContent>
  <xr:revisionPtr revIDLastSave="0" documentId="13_ncr:1_{CA5A0FAB-85CE-D24D-8BE2-CDD3BB392ABB}" xr6:coauthVersionLast="47" xr6:coauthVersionMax="47" xr10:uidLastSave="{00000000-0000-0000-0000-000000000000}"/>
  <bookViews>
    <workbookView xWindow="0" yWindow="500" windowWidth="33600" windowHeight="19540" tabRatio="963" xr2:uid="{00000000-000D-0000-FFFF-FFFF00000000}"/>
  </bookViews>
  <sheets>
    <sheet name="Outcomes" sheetId="1" r:id="rId1"/>
    <sheet name="PFS" sheetId="2" r:id="rId2"/>
    <sheet name="E_D_rPFS" sheetId="41" r:id="rId3"/>
    <sheet name="OS" sheetId="3" r:id="rId4"/>
    <sheet name="E_D_OS" sheetId="42" r:id="rId5"/>
    <sheet name="SUBG_TH_rPFS" sheetId="33" r:id="rId6"/>
    <sheet name="SUBG_TH_OS" sheetId="34" r:id="rId7"/>
    <sheet name="SUBG_TH_LV_OS" sheetId="35" r:id="rId8"/>
    <sheet name="SUBG_TH_HV_OS" sheetId="36" r:id="rId9"/>
    <sheet name="SUBG_TH_LV_rPFS" sheetId="37" r:id="rId10"/>
    <sheet name="SUBG_TH_HV_rPFS" sheetId="38" r:id="rId11"/>
    <sheet name="SUBG_TH_S_OS" sheetId="39" r:id="rId12"/>
    <sheet name="SUBG_TH_M_OS" sheetId="40" r:id="rId13"/>
    <sheet name="SUBG_V_OS" sheetId="4" r:id="rId14"/>
    <sheet name="SUBG_V_rPFS" sheetId="5" r:id="rId15"/>
    <sheet name="V_L_rPFS" sheetId="6" r:id="rId16"/>
    <sheet name="V_H_rPFS" sheetId="7" r:id="rId17"/>
    <sheet name="V_L_OS" sheetId="8" r:id="rId18"/>
    <sheet name="V_H_OS" sheetId="9" r:id="rId19"/>
    <sheet name="SUBG_M_OS" sheetId="10" r:id="rId20"/>
    <sheet name="SUBG_M_rPFS" sheetId="11" r:id="rId21"/>
    <sheet name="M_OS" sheetId="12" r:id="rId22"/>
    <sheet name="S_OS" sheetId="13" r:id="rId23"/>
    <sheet name="M_rPFS" sheetId="14" r:id="rId24"/>
    <sheet name="S_rPFS" sheetId="15" r:id="rId25"/>
    <sheet name="AE 3 or high" sheetId="16" r:id="rId26"/>
    <sheet name="Old_rPFS" sheetId="17" r:id="rId27"/>
    <sheet name="Young_rPFS" sheetId="18" r:id="rId28"/>
    <sheet name="Old_OS" sheetId="19" r:id="rId29"/>
    <sheet name="Young_OS" sheetId="20" r:id="rId30"/>
    <sheet name="SUBG_GS_rPFS" sheetId="21" r:id="rId31"/>
    <sheet name="SUBG_GS_OS" sheetId="22" r:id="rId32"/>
    <sheet name="SUBG_PS_rPFS" sheetId="27" r:id="rId33"/>
    <sheet name="SUBG_PS_OS" sheetId="28" r:id="rId34"/>
    <sheet name="GS_H_rPFS" sheetId="23" r:id="rId35"/>
    <sheet name="GS_L_rPFS" sheetId="24" r:id="rId36"/>
    <sheet name="GS_H_OS" sheetId="25" r:id="rId37"/>
    <sheet name="GS_L_OS" sheetId="26" r:id="rId38"/>
    <sheet name="PS0_rPFS" sheetId="29" r:id="rId39"/>
    <sheet name="PS12_rPFS" sheetId="30" r:id="rId40"/>
    <sheet name="PS0_OS" sheetId="31" r:id="rId41"/>
    <sheet name="PS12_OS" sheetId="32" r:id="rId42"/>
    <sheet name="SUBG_SHV_MLV" sheetId="43" r:id="rId43"/>
    <sheet name="SUBG_SHV_SLV" sheetId="44" r:id="rId44"/>
    <sheet name="SUBG_SHV_MHV" sheetId="45" r:id="rId45"/>
    <sheet name="SUBG_SLV_MHV" sheetId="46" r:id="rId46"/>
    <sheet name="SUBG_SLV_MLV" sheetId="48" r:id="rId47"/>
    <sheet name="SUBG_MHV_MLV" sheetId="47" r:id="rId48"/>
    <sheet name="SHV_OS" sheetId="49" r:id="rId49"/>
    <sheet name="MHV_OS" sheetId="50" r:id="rId50"/>
    <sheet name="SLV_OS" sheetId="51" r:id="rId51"/>
  </sheets>
  <definedNames>
    <definedName name="_xlnm._FilterDatabase" localSheetId="0" hidden="1">Outcomes!$G$1:$G$51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3" i="40" l="1"/>
  <c r="K3" i="40"/>
  <c r="M3" i="39"/>
  <c r="L3" i="39"/>
  <c r="K3" i="39"/>
  <c r="L7" i="35"/>
  <c r="K3" i="10"/>
  <c r="K8" i="10"/>
  <c r="L7" i="4"/>
  <c r="J3" i="13"/>
  <c r="J3" i="12"/>
  <c r="I7" i="9"/>
  <c r="H8" i="41"/>
  <c r="H8" i="42"/>
  <c r="I8" i="33"/>
  <c r="M8" i="10"/>
  <c r="L8" i="10"/>
  <c r="M3" i="10"/>
  <c r="K7" i="9"/>
  <c r="H8" i="2"/>
</calcChain>
</file>

<file path=xl/sharedStrings.xml><?xml version="1.0" encoding="utf-8"?>
<sst xmlns="http://schemas.openxmlformats.org/spreadsheetml/2006/main" count="3576" uniqueCount="190">
  <si>
    <t>category</t>
  </si>
  <si>
    <t>analysis_title</t>
  </si>
  <si>
    <t>included_in_plots</t>
  </si>
  <si>
    <t>included_in_sof</t>
  </si>
  <si>
    <t>measure</t>
  </si>
  <si>
    <t>fixed_or_random</t>
  </si>
  <si>
    <t>which_is_better</t>
  </si>
  <si>
    <t>data_type</t>
  </si>
  <si>
    <t>name</t>
  </si>
  <si>
    <t>full_name</t>
  </si>
  <si>
    <t>treatment</t>
  </si>
  <si>
    <t>control</t>
  </si>
  <si>
    <t>default</t>
  </si>
  <si>
    <t>primary</t>
  </si>
  <si>
    <t>yes</t>
  </si>
  <si>
    <t>HR</t>
  </si>
  <si>
    <t>random</t>
  </si>
  <si>
    <t>lower</t>
  </si>
  <si>
    <t>pre</t>
  </si>
  <si>
    <t>OS</t>
  </si>
  <si>
    <t>Doublet</t>
  </si>
  <si>
    <t>ADT</t>
  </si>
  <si>
    <t>PFS</t>
  </si>
  <si>
    <t>RR</t>
  </si>
  <si>
    <t>raw</t>
  </si>
  <si>
    <t>AE 3 or high</t>
  </si>
  <si>
    <t>Adverse events (grade ≥ 3)</t>
  </si>
  <si>
    <t>sensitivity</t>
  </si>
  <si>
    <t>no</t>
  </si>
  <si>
    <t>E_D_OS</t>
  </si>
  <si>
    <t>E_D_rPFS</t>
  </si>
  <si>
    <t>V_H_OS</t>
  </si>
  <si>
    <t>V_L_OS</t>
  </si>
  <si>
    <t>V_H_rPFS</t>
  </si>
  <si>
    <t>V_L_rPFS</t>
  </si>
  <si>
    <t>Young_OS</t>
  </si>
  <si>
    <t>Old_OS</t>
  </si>
  <si>
    <t>Young_rPFS</t>
  </si>
  <si>
    <t>Old_rPFS</t>
  </si>
  <si>
    <t>GS_H_OS</t>
  </si>
  <si>
    <t>GS_L_OS</t>
  </si>
  <si>
    <t>GS_H_rPFS</t>
  </si>
  <si>
    <t>GS_L_rPFS</t>
  </si>
  <si>
    <t>PS0_OS</t>
  </si>
  <si>
    <t>PS12_OS</t>
  </si>
  <si>
    <t>PS0_rPFS</t>
  </si>
  <si>
    <t>PS12_rPFS</t>
  </si>
  <si>
    <t>subgroup</t>
  </si>
  <si>
    <t>SUBG_TH_OS</t>
  </si>
  <si>
    <t>Overall survival by choice of doublet therapy</t>
  </si>
  <si>
    <t>SUBG_TH_rPFS</t>
  </si>
  <si>
    <t>Progression free survival by choice of doublet therapy</t>
  </si>
  <si>
    <t>SUBG_V_OS</t>
  </si>
  <si>
    <t>Overall survival by volume of disease</t>
  </si>
  <si>
    <t>SUBG_TH_HV_OS</t>
  </si>
  <si>
    <t>Overall survival in high volume by choice of doublet therapy</t>
  </si>
  <si>
    <t>SUBG_TH_LV_OS</t>
  </si>
  <si>
    <t>Overall survival in low volume by choice of doublet therapy</t>
  </si>
  <si>
    <t>SUBG_V_rPFS</t>
  </si>
  <si>
    <t>Progression free survival by volume of disease</t>
  </si>
  <si>
    <t>SUBG_TH_HV_rPFS</t>
  </si>
  <si>
    <t>Progression free survival in high volume by choice of doublet therapy</t>
  </si>
  <si>
    <t>SUBG_TH_LV_rPFS</t>
  </si>
  <si>
    <t>Progression free survival in low volume by choice of doublet therapy</t>
  </si>
  <si>
    <t>SUBG_M_OS</t>
  </si>
  <si>
    <t>Overall survival by mode of metastatic presentation</t>
  </si>
  <si>
    <t>Overall survival in synchronous metastases by choice of doublet therapy</t>
  </si>
  <si>
    <t>Overall survival in metachronous metastases by choice of doublet therapy</t>
  </si>
  <si>
    <t>SUBG_M_rPFS</t>
  </si>
  <si>
    <t>Progression-free survival by mode of metastatic presentation</t>
  </si>
  <si>
    <t>SUBG_GS_OS</t>
  </si>
  <si>
    <t>Overall survival by Gleason score</t>
  </si>
  <si>
    <t>SUBG_GS_rPFS</t>
  </si>
  <si>
    <t>Progression free survival by Gleason score</t>
  </si>
  <si>
    <t>SUBG_PS_OS</t>
  </si>
  <si>
    <t>Overall survival by performance status score</t>
  </si>
  <si>
    <t>SUBG_PS_rPFS</t>
  </si>
  <si>
    <t>Progression free survival by performance status score</t>
  </si>
  <si>
    <t>study</t>
  </si>
  <si>
    <t>year</t>
  </si>
  <si>
    <t>TE</t>
  </si>
  <si>
    <t>lowerci</t>
  </si>
  <si>
    <t>upperci</t>
  </si>
  <si>
    <t>survival in control</t>
  </si>
  <si>
    <t>Ec</t>
  </si>
  <si>
    <t>Et</t>
  </si>
  <si>
    <t>pid</t>
  </si>
  <si>
    <t>r1</t>
  </si>
  <si>
    <t>r2</t>
  </si>
  <si>
    <t>r3</t>
  </si>
  <si>
    <t>r4</t>
  </si>
  <si>
    <t>r5</t>
  </si>
  <si>
    <t>RoB</t>
  </si>
  <si>
    <t>ARCHES</t>
  </si>
  <si>
    <t>31329516</t>
  </si>
  <si>
    <t>CHAARTED</t>
  </si>
  <si>
    <t>ENZAMET</t>
  </si>
  <si>
    <t>NA</t>
  </si>
  <si>
    <t>GETUG-AFU15</t>
  </si>
  <si>
    <t>LATITUDE</t>
  </si>
  <si>
    <t>STAMPEDE_ARM-C</t>
  </si>
  <si>
    <t>STAMPEDE_ARM-G</t>
  </si>
  <si>
    <t>SWOG1216</t>
  </si>
  <si>
    <t>TITAN</t>
  </si>
  <si>
    <t>10.1016/j.annonc.2020.08.871</t>
  </si>
  <si>
    <t>Docetaxel-doublet</t>
  </si>
  <si>
    <t>Low volume</t>
  </si>
  <si>
    <t>High volume</t>
  </si>
  <si>
    <t>Metachronous</t>
  </si>
  <si>
    <t>Synchronous</t>
  </si>
  <si>
    <t>Nt</t>
  </si>
  <si>
    <t>Nc</t>
  </si>
  <si>
    <t>LATITUDE (1)</t>
  </si>
  <si>
    <t>TITAN (1)</t>
  </si>
  <si>
    <t>Gleason &gt;8</t>
  </si>
  <si>
    <t>Gleason =&lt; 8</t>
  </si>
  <si>
    <t>10.1016/j.annonc.2021.08.2101</t>
  </si>
  <si>
    <t>PS 0</t>
  </si>
  <si>
    <t>PS 1-2</t>
  </si>
  <si>
    <t>PS0_1</t>
  </si>
  <si>
    <t>Overall survival (all patients)</t>
  </si>
  <si>
    <t>Progression free survival (all patients)</t>
  </si>
  <si>
    <t>Overall survival (all patients; excluding subset of patients who received docetaxel in NHT trials)</t>
  </si>
  <si>
    <t>Progression free survival (all patients; excluding subset of patients who received docetaxel in NHT trials)</t>
  </si>
  <si>
    <t>Overall survival (high volume disease)</t>
  </si>
  <si>
    <t>Overall survival (low volume disease)</t>
  </si>
  <si>
    <t>Progression free survival (high volume disease)</t>
  </si>
  <si>
    <t>Progression free survival (low volume disease)</t>
  </si>
  <si>
    <t>Overall survival (synchronous disease)</t>
  </si>
  <si>
    <t>Overall survival (metachronous disease)</t>
  </si>
  <si>
    <t>Progression-free survival (synchronous disease)</t>
  </si>
  <si>
    <t>Progression-free survival (metachronous disease)</t>
  </si>
  <si>
    <t>Overall survival (young)</t>
  </si>
  <si>
    <t>Overall survival (old)</t>
  </si>
  <si>
    <t>Progression free survival (young)</t>
  </si>
  <si>
    <t>Progression free survival (old)</t>
  </si>
  <si>
    <t>Overall survival (Gleason score ≥8)</t>
  </si>
  <si>
    <t>Overall survival (Gleason score ≤ 8)</t>
  </si>
  <si>
    <t>Progression free survival (Gleason score ≥8)</t>
  </si>
  <si>
    <t>Progression free survival (Gleason score ≤ 8)</t>
  </si>
  <si>
    <t>Overall survival (perfomance status score 0)</t>
  </si>
  <si>
    <t>Overall survival (perfomance status score 1/2)</t>
  </si>
  <si>
    <t>Progression free survival (performance status score 0)</t>
  </si>
  <si>
    <t>Progression free survival (performance status score 1/2)</t>
  </si>
  <si>
    <t>10.1200/jco.2021.39.15_suppl.5001</t>
  </si>
  <si>
    <t>10.1200/jco.2021.39.6_suppl.102</t>
  </si>
  <si>
    <t>10.1200/jco.2022.40.6_suppl.115</t>
  </si>
  <si>
    <t>10.1200/jco.2021.39.6_suppl.11 </t>
  </si>
  <si>
    <t>Triplet</t>
  </si>
  <si>
    <t>D+ADT</t>
  </si>
  <si>
    <t xml:space="preserve">ENZAMET </t>
  </si>
  <si>
    <t>PEACE-1</t>
  </si>
  <si>
    <t>ARASENS</t>
  </si>
  <si>
    <t>Overall survival with triplet therapy by volume of disease in patients with synchronous metastases</t>
  </si>
  <si>
    <t>Overall survival with triplet therapy in synchronous high volume and metachronous low volume patients</t>
  </si>
  <si>
    <t>Overall survival with triplet therapy by timing of metastasis in patients with high volume disease burden</t>
  </si>
  <si>
    <t>Overall survival with triplet therapy in metachronous high volume and synchronous low volume patients</t>
  </si>
  <si>
    <t>Overall survival with triplet therapy by timing of metastasis in patients with low volume disease burden</t>
  </si>
  <si>
    <t>Overall survival with triplet therapy by volume of disease in patients with metachronous metastases</t>
  </si>
  <si>
    <t>Overall survival (synchronous high volume disease)</t>
  </si>
  <si>
    <t>Overall survival (metachronous high volume disease)</t>
  </si>
  <si>
    <t>Overall survival (synchronous low volume disease)</t>
  </si>
  <si>
    <t>SUBG_SHV_MLV</t>
  </si>
  <si>
    <t>SUBG_SHV_SLV</t>
  </si>
  <si>
    <t>SUBG_SHV_MHV</t>
  </si>
  <si>
    <t>SUBG_SLV_MHV</t>
  </si>
  <si>
    <t>SUBG_SLV_MLV</t>
  </si>
  <si>
    <t>SUBG_MHV_MLV</t>
  </si>
  <si>
    <t>SHV_OS</t>
  </si>
  <si>
    <t>MHV_OS</t>
  </si>
  <si>
    <t>SLV_OS</t>
  </si>
  <si>
    <t>S_rPFS</t>
  </si>
  <si>
    <t>M_rPFS</t>
  </si>
  <si>
    <t>S_OS</t>
  </si>
  <si>
    <t>M_OS</t>
  </si>
  <si>
    <t>SUBG_TH_S_OS</t>
  </si>
  <si>
    <t>SUBG_TH_M_OS</t>
  </si>
  <si>
    <t>MLV</t>
  </si>
  <si>
    <t>SHV</t>
  </si>
  <si>
    <t>SLV</t>
  </si>
  <si>
    <t>MHV</t>
  </si>
  <si>
    <t>ARPI-doublet</t>
  </si>
  <si>
    <t>category_outcome</t>
  </si>
  <si>
    <t>subcategory_outcome</t>
  </si>
  <si>
    <t>included_in_bar</t>
  </si>
  <si>
    <t>incidence</t>
  </si>
  <si>
    <t>sort</t>
  </si>
  <si>
    <t xml:space="preserve">AE 3 or high </t>
  </si>
  <si>
    <t>L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</si>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</sst>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sz val="8"/>
      <name val="Calibri"/>
      <family val="2"/>
      <charset val="1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444444"/>
      <name val="Arial"/>
      <family val="2"/>
    </font>
    <font>
      <sz val="10"/>
      <color rgb="FF21212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FBE5D6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2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1" fontId="6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6" fillId="7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2" fontId="6" fillId="8" borderId="0" xfId="0" applyNumberFormat="1" applyFont="1" applyFill="1" applyAlignment="1">
      <alignment horizontal="left" vertical="center"/>
    </xf>
    <xf numFmtId="0" fontId="7" fillId="8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top"/>
    </xf>
    <xf numFmtId="0" fontId="6" fillId="0" borderId="0" xfId="0" applyFont="1"/>
    <xf numFmtId="0" fontId="6" fillId="8" borderId="0" xfId="0" applyFont="1" applyFill="1"/>
    <xf numFmtId="0" fontId="2" fillId="7" borderId="1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/>
    </xf>
  </cellXfs>
  <cellStyles count="2">
    <cellStyle name="Normal" xfId="0" builtinId="0"/>
    <cellStyle name="Normal 2" xfId="1" xr:uid="{00000000-0005-0000-0000-000006000000}"/>
  </cellStyles>
  <dxfs count="1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12121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I51"/>
  <sheetViews>
    <sheetView tabSelected="1" topLeftCell="L1" zoomScale="106" zoomScaleNormal="108" workbookViewId="0">
      <selection activeCell="O20" sqref="O20"/>
    </sheetView>
  </sheetViews>
  <sheetFormatPr baseColWidth="10" defaultColWidth="11.83203125" defaultRowHeight="15" x14ac:dyDescent="0.2"/>
  <cols>
    <col min="1" max="4" width="12.5" style="1" customWidth="1"/>
    <col min="5" max="7" width="18.5" style="1" customWidth="1"/>
    <col min="8" max="8" width="11.83203125" style="1"/>
    <col min="9" max="9" width="15.1640625" style="1" customWidth="1"/>
    <col min="10" max="10" width="17" style="1" customWidth="1"/>
    <col min="11" max="13" width="11.83203125" style="1"/>
    <col min="14" max="14" width="18" style="1" bestFit="1" customWidth="1"/>
    <col min="15" max="15" width="85.1640625" style="1" bestFit="1" customWidth="1"/>
    <col min="16" max="1023" width="11.83203125" style="1"/>
  </cols>
  <sheetData>
    <row r="1" spans="1:17" s="3" customFormat="1" ht="13" x14ac:dyDescent="0.2">
      <c r="A1" s="2" t="s">
        <v>0</v>
      </c>
      <c r="B1" s="2" t="s">
        <v>1</v>
      </c>
      <c r="C1" s="2" t="s">
        <v>182</v>
      </c>
      <c r="D1" s="2" t="s">
        <v>183</v>
      </c>
      <c r="E1" s="2" t="s">
        <v>2</v>
      </c>
      <c r="F1" s="2" t="s">
        <v>184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185</v>
      </c>
      <c r="M1" s="2" t="s">
        <v>186</v>
      </c>
      <c r="N1" s="2" t="s">
        <v>8</v>
      </c>
      <c r="O1" s="2" t="s">
        <v>9</v>
      </c>
      <c r="P1" s="2" t="s">
        <v>10</v>
      </c>
      <c r="Q1" s="2" t="s">
        <v>11</v>
      </c>
    </row>
    <row r="2" spans="1:17" x14ac:dyDescent="0.2">
      <c r="A2" s="5" t="s">
        <v>12</v>
      </c>
      <c r="B2" s="5" t="s">
        <v>13</v>
      </c>
      <c r="C2" s="5" t="s">
        <v>19</v>
      </c>
      <c r="D2" s="5" t="s">
        <v>28</v>
      </c>
      <c r="E2" s="5" t="s">
        <v>14</v>
      </c>
      <c r="F2" s="5" t="s">
        <v>28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28</v>
      </c>
      <c r="M2" s="5" t="s">
        <v>13</v>
      </c>
      <c r="N2" s="5" t="s">
        <v>19</v>
      </c>
      <c r="O2" s="5" t="s">
        <v>120</v>
      </c>
      <c r="P2" s="5" t="s">
        <v>20</v>
      </c>
      <c r="Q2" s="5" t="s">
        <v>21</v>
      </c>
    </row>
    <row r="3" spans="1:17" x14ac:dyDescent="0.2">
      <c r="A3" s="5" t="s">
        <v>12</v>
      </c>
      <c r="B3" s="5" t="s">
        <v>13</v>
      </c>
      <c r="C3" s="5" t="s">
        <v>22</v>
      </c>
      <c r="D3" s="5" t="s">
        <v>28</v>
      </c>
      <c r="E3" s="5" t="s">
        <v>14</v>
      </c>
      <c r="F3" s="5" t="s">
        <v>28</v>
      </c>
      <c r="G3" s="5" t="s">
        <v>14</v>
      </c>
      <c r="H3" s="5" t="s">
        <v>15</v>
      </c>
      <c r="I3" s="5" t="s">
        <v>16</v>
      </c>
      <c r="J3" s="5" t="s">
        <v>17</v>
      </c>
      <c r="K3" s="5" t="s">
        <v>18</v>
      </c>
      <c r="L3" s="5" t="s">
        <v>28</v>
      </c>
      <c r="M3" s="5" t="s">
        <v>13</v>
      </c>
      <c r="N3" s="5" t="s">
        <v>22</v>
      </c>
      <c r="O3" s="5" t="s">
        <v>121</v>
      </c>
      <c r="P3" s="5" t="s">
        <v>20</v>
      </c>
      <c r="Q3" s="5" t="s">
        <v>21</v>
      </c>
    </row>
    <row r="4" spans="1:17" x14ac:dyDescent="0.2">
      <c r="A4" s="5" t="s">
        <v>12</v>
      </c>
      <c r="B4" s="5" t="s">
        <v>13</v>
      </c>
      <c r="C4" s="5" t="s">
        <v>187</v>
      </c>
      <c r="D4" s="5" t="s">
        <v>28</v>
      </c>
      <c r="E4" s="5" t="s">
        <v>14</v>
      </c>
      <c r="F4" s="5" t="s">
        <v>28</v>
      </c>
      <c r="G4" s="5" t="s">
        <v>14</v>
      </c>
      <c r="H4" s="5" t="s">
        <v>23</v>
      </c>
      <c r="I4" s="5" t="s">
        <v>16</v>
      </c>
      <c r="J4" s="5" t="s">
        <v>17</v>
      </c>
      <c r="K4" s="5" t="s">
        <v>24</v>
      </c>
      <c r="L4" s="5" t="s">
        <v>28</v>
      </c>
      <c r="M4" s="5" t="s">
        <v>13</v>
      </c>
      <c r="N4" s="5" t="s">
        <v>25</v>
      </c>
      <c r="O4" s="5" t="s">
        <v>26</v>
      </c>
      <c r="P4" s="5" t="s">
        <v>20</v>
      </c>
      <c r="Q4" s="5" t="s">
        <v>21</v>
      </c>
    </row>
    <row r="5" spans="1:17" x14ac:dyDescent="0.2">
      <c r="A5" s="4" t="s">
        <v>12</v>
      </c>
      <c r="B5" s="4" t="s">
        <v>27</v>
      </c>
      <c r="C5" s="4" t="s">
        <v>19</v>
      </c>
      <c r="D5" s="4" t="s">
        <v>14</v>
      </c>
      <c r="E5" s="4" t="s">
        <v>14</v>
      </c>
      <c r="F5" s="4" t="s">
        <v>28</v>
      </c>
      <c r="G5" s="4" t="s">
        <v>28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28</v>
      </c>
      <c r="M5" s="4" t="s">
        <v>27</v>
      </c>
      <c r="N5" s="6" t="s">
        <v>29</v>
      </c>
      <c r="O5" s="7" t="s">
        <v>122</v>
      </c>
      <c r="P5" s="4" t="s">
        <v>20</v>
      </c>
      <c r="Q5" s="4" t="s">
        <v>21</v>
      </c>
    </row>
    <row r="6" spans="1:17" x14ac:dyDescent="0.2">
      <c r="A6" s="4" t="s">
        <v>12</v>
      </c>
      <c r="B6" s="4" t="s">
        <v>27</v>
      </c>
      <c r="C6" s="4" t="s">
        <v>22</v>
      </c>
      <c r="D6" s="4" t="s">
        <v>14</v>
      </c>
      <c r="E6" s="4" t="s">
        <v>14</v>
      </c>
      <c r="F6" s="4" t="s">
        <v>28</v>
      </c>
      <c r="G6" s="4" t="s">
        <v>28</v>
      </c>
      <c r="H6" s="4" t="s">
        <v>15</v>
      </c>
      <c r="I6" s="4" t="s">
        <v>16</v>
      </c>
      <c r="J6" s="4" t="s">
        <v>17</v>
      </c>
      <c r="K6" s="4" t="s">
        <v>18</v>
      </c>
      <c r="L6" s="4" t="s">
        <v>28</v>
      </c>
      <c r="M6" s="4" t="s">
        <v>27</v>
      </c>
      <c r="N6" s="6" t="s">
        <v>30</v>
      </c>
      <c r="O6" s="7" t="s">
        <v>123</v>
      </c>
      <c r="P6" s="4" t="s">
        <v>20</v>
      </c>
      <c r="Q6" s="4" t="s">
        <v>21</v>
      </c>
    </row>
    <row r="7" spans="1:17" x14ac:dyDescent="0.2">
      <c r="A7" s="4" t="s">
        <v>12</v>
      </c>
      <c r="B7" s="4" t="s">
        <v>27</v>
      </c>
      <c r="C7" s="4" t="s">
        <v>19</v>
      </c>
      <c r="D7" s="4" t="s">
        <v>14</v>
      </c>
      <c r="E7" s="4" t="s">
        <v>14</v>
      </c>
      <c r="F7" s="4" t="s">
        <v>28</v>
      </c>
      <c r="G7" s="4" t="s">
        <v>14</v>
      </c>
      <c r="H7" s="4" t="s">
        <v>15</v>
      </c>
      <c r="I7" s="4" t="s">
        <v>16</v>
      </c>
      <c r="J7" s="4" t="s">
        <v>17</v>
      </c>
      <c r="K7" s="4" t="s">
        <v>18</v>
      </c>
      <c r="L7" s="4" t="s">
        <v>28</v>
      </c>
      <c r="M7" s="4" t="s">
        <v>27</v>
      </c>
      <c r="N7" s="4" t="s">
        <v>31</v>
      </c>
      <c r="O7" s="4" t="s">
        <v>124</v>
      </c>
      <c r="P7" s="4" t="s">
        <v>20</v>
      </c>
      <c r="Q7" s="4" t="s">
        <v>21</v>
      </c>
    </row>
    <row r="8" spans="1:17" x14ac:dyDescent="0.2">
      <c r="A8" s="4" t="s">
        <v>12</v>
      </c>
      <c r="B8" s="4" t="s">
        <v>27</v>
      </c>
      <c r="C8" s="4" t="s">
        <v>19</v>
      </c>
      <c r="D8" s="4" t="s">
        <v>14</v>
      </c>
      <c r="E8" s="4" t="s">
        <v>14</v>
      </c>
      <c r="F8" s="4" t="s">
        <v>28</v>
      </c>
      <c r="G8" s="4" t="s">
        <v>14</v>
      </c>
      <c r="H8" s="4" t="s">
        <v>15</v>
      </c>
      <c r="I8" s="4" t="s">
        <v>16</v>
      </c>
      <c r="J8" s="4" t="s">
        <v>17</v>
      </c>
      <c r="K8" s="4" t="s">
        <v>18</v>
      </c>
      <c r="L8" s="4" t="s">
        <v>28</v>
      </c>
      <c r="M8" s="4" t="s">
        <v>27</v>
      </c>
      <c r="N8" s="4" t="s">
        <v>32</v>
      </c>
      <c r="O8" s="4" t="s">
        <v>125</v>
      </c>
      <c r="P8" s="4" t="s">
        <v>20</v>
      </c>
      <c r="Q8" s="4" t="s">
        <v>21</v>
      </c>
    </row>
    <row r="9" spans="1:17" x14ac:dyDescent="0.2">
      <c r="A9" s="4" t="s">
        <v>12</v>
      </c>
      <c r="B9" s="4" t="s">
        <v>27</v>
      </c>
      <c r="C9" s="4" t="s">
        <v>22</v>
      </c>
      <c r="D9" s="4" t="s">
        <v>14</v>
      </c>
      <c r="E9" s="4" t="s">
        <v>14</v>
      </c>
      <c r="F9" s="4" t="s">
        <v>28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28</v>
      </c>
      <c r="M9" s="4" t="s">
        <v>27</v>
      </c>
      <c r="N9" s="4" t="s">
        <v>33</v>
      </c>
      <c r="O9" s="4" t="s">
        <v>126</v>
      </c>
      <c r="P9" s="4" t="s">
        <v>20</v>
      </c>
      <c r="Q9" s="4" t="s">
        <v>21</v>
      </c>
    </row>
    <row r="10" spans="1:17" x14ac:dyDescent="0.2">
      <c r="A10" s="4" t="s">
        <v>12</v>
      </c>
      <c r="B10" s="4" t="s">
        <v>27</v>
      </c>
      <c r="C10" s="4" t="s">
        <v>22</v>
      </c>
      <c r="D10" s="4" t="s">
        <v>14</v>
      </c>
      <c r="E10" s="4" t="s">
        <v>14</v>
      </c>
      <c r="F10" s="4" t="s">
        <v>28</v>
      </c>
      <c r="G10" s="4" t="s">
        <v>14</v>
      </c>
      <c r="H10" s="4" t="s">
        <v>15</v>
      </c>
      <c r="I10" s="4" t="s">
        <v>16</v>
      </c>
      <c r="J10" s="4" t="s">
        <v>17</v>
      </c>
      <c r="K10" s="4" t="s">
        <v>18</v>
      </c>
      <c r="L10" s="4" t="s">
        <v>28</v>
      </c>
      <c r="M10" s="4" t="s">
        <v>27</v>
      </c>
      <c r="N10" s="4" t="s">
        <v>34</v>
      </c>
      <c r="O10" s="4" t="s">
        <v>127</v>
      </c>
      <c r="P10" s="4" t="s">
        <v>20</v>
      </c>
      <c r="Q10" s="4" t="s">
        <v>21</v>
      </c>
    </row>
    <row r="11" spans="1:17" x14ac:dyDescent="0.2">
      <c r="A11" s="4" t="s">
        <v>12</v>
      </c>
      <c r="B11" s="4" t="s">
        <v>27</v>
      </c>
      <c r="C11" s="4" t="s">
        <v>19</v>
      </c>
      <c r="D11" s="4" t="s">
        <v>14</v>
      </c>
      <c r="E11" s="4" t="s">
        <v>14</v>
      </c>
      <c r="F11" s="4" t="s">
        <v>28</v>
      </c>
      <c r="G11" s="4" t="s">
        <v>14</v>
      </c>
      <c r="H11" s="4" t="s">
        <v>15</v>
      </c>
      <c r="I11" s="4" t="s">
        <v>16</v>
      </c>
      <c r="J11" s="4" t="s">
        <v>17</v>
      </c>
      <c r="K11" s="4" t="s">
        <v>18</v>
      </c>
      <c r="L11" s="4" t="s">
        <v>28</v>
      </c>
      <c r="M11" s="4" t="s">
        <v>27</v>
      </c>
      <c r="N11" s="4" t="s">
        <v>173</v>
      </c>
      <c r="O11" s="4" t="s">
        <v>128</v>
      </c>
      <c r="P11" s="4" t="s">
        <v>20</v>
      </c>
      <c r="Q11" s="4" t="s">
        <v>21</v>
      </c>
    </row>
    <row r="12" spans="1:17" x14ac:dyDescent="0.2">
      <c r="A12" s="4" t="s">
        <v>12</v>
      </c>
      <c r="B12" s="4" t="s">
        <v>27</v>
      </c>
      <c r="C12" s="4" t="s">
        <v>19</v>
      </c>
      <c r="D12" s="4" t="s">
        <v>14</v>
      </c>
      <c r="E12" s="4" t="s">
        <v>14</v>
      </c>
      <c r="F12" s="4" t="s">
        <v>28</v>
      </c>
      <c r="G12" s="4" t="s">
        <v>14</v>
      </c>
      <c r="H12" s="4" t="s">
        <v>15</v>
      </c>
      <c r="I12" s="4" t="s">
        <v>16</v>
      </c>
      <c r="J12" s="4" t="s">
        <v>17</v>
      </c>
      <c r="K12" s="4" t="s">
        <v>18</v>
      </c>
      <c r="L12" s="4" t="s">
        <v>28</v>
      </c>
      <c r="M12" s="4" t="s">
        <v>27</v>
      </c>
      <c r="N12" s="4" t="s">
        <v>174</v>
      </c>
      <c r="O12" s="4" t="s">
        <v>129</v>
      </c>
      <c r="P12" s="4" t="s">
        <v>20</v>
      </c>
      <c r="Q12" s="4" t="s">
        <v>21</v>
      </c>
    </row>
    <row r="13" spans="1:17" x14ac:dyDescent="0.2">
      <c r="A13" s="4" t="s">
        <v>12</v>
      </c>
      <c r="B13" s="4" t="s">
        <v>27</v>
      </c>
      <c r="C13" s="4" t="s">
        <v>22</v>
      </c>
      <c r="D13" s="4" t="s">
        <v>14</v>
      </c>
      <c r="E13" s="4" t="s">
        <v>14</v>
      </c>
      <c r="F13" s="4" t="s">
        <v>28</v>
      </c>
      <c r="G13" s="4" t="s">
        <v>14</v>
      </c>
      <c r="H13" s="4" t="s">
        <v>15</v>
      </c>
      <c r="I13" s="4" t="s">
        <v>16</v>
      </c>
      <c r="J13" s="4" t="s">
        <v>17</v>
      </c>
      <c r="K13" s="4" t="s">
        <v>18</v>
      </c>
      <c r="L13" s="4" t="s">
        <v>28</v>
      </c>
      <c r="M13" s="4" t="s">
        <v>27</v>
      </c>
      <c r="N13" s="4" t="s">
        <v>171</v>
      </c>
      <c r="O13" s="4" t="s">
        <v>130</v>
      </c>
      <c r="P13" s="4" t="s">
        <v>20</v>
      </c>
      <c r="Q13" s="4" t="s">
        <v>21</v>
      </c>
    </row>
    <row r="14" spans="1:17" x14ac:dyDescent="0.2">
      <c r="A14" s="4" t="s">
        <v>12</v>
      </c>
      <c r="B14" s="4" t="s">
        <v>27</v>
      </c>
      <c r="C14" s="4" t="s">
        <v>22</v>
      </c>
      <c r="D14" s="4" t="s">
        <v>14</v>
      </c>
      <c r="E14" s="4" t="s">
        <v>14</v>
      </c>
      <c r="F14" s="4" t="s">
        <v>28</v>
      </c>
      <c r="G14" s="4" t="s">
        <v>14</v>
      </c>
      <c r="H14" s="4" t="s">
        <v>15</v>
      </c>
      <c r="I14" s="4" t="s">
        <v>16</v>
      </c>
      <c r="J14" s="4" t="s">
        <v>17</v>
      </c>
      <c r="K14" s="4" t="s">
        <v>18</v>
      </c>
      <c r="L14" s="4" t="s">
        <v>28</v>
      </c>
      <c r="M14" s="4" t="s">
        <v>27</v>
      </c>
      <c r="N14" s="4" t="s">
        <v>172</v>
      </c>
      <c r="O14" s="4" t="s">
        <v>131</v>
      </c>
      <c r="P14" s="4" t="s">
        <v>20</v>
      </c>
      <c r="Q14" s="4" t="s">
        <v>21</v>
      </c>
    </row>
    <row r="15" spans="1:17" x14ac:dyDescent="0.2">
      <c r="A15" s="4" t="s">
        <v>12</v>
      </c>
      <c r="B15" s="4" t="s">
        <v>27</v>
      </c>
      <c r="C15" s="4" t="s">
        <v>19</v>
      </c>
      <c r="D15" s="4" t="s">
        <v>14</v>
      </c>
      <c r="E15" s="4" t="s">
        <v>14</v>
      </c>
      <c r="F15" s="4" t="s">
        <v>28</v>
      </c>
      <c r="G15" s="4" t="s">
        <v>28</v>
      </c>
      <c r="H15" s="4" t="s">
        <v>15</v>
      </c>
      <c r="I15" s="4" t="s">
        <v>16</v>
      </c>
      <c r="J15" s="4" t="s">
        <v>17</v>
      </c>
      <c r="K15" s="4" t="s">
        <v>18</v>
      </c>
      <c r="L15" s="4" t="s">
        <v>28</v>
      </c>
      <c r="M15" s="4" t="s">
        <v>27</v>
      </c>
      <c r="N15" s="4" t="s">
        <v>35</v>
      </c>
      <c r="O15" s="4" t="s">
        <v>132</v>
      </c>
      <c r="P15" s="4" t="s">
        <v>20</v>
      </c>
      <c r="Q15" s="4" t="s">
        <v>21</v>
      </c>
    </row>
    <row r="16" spans="1:17" x14ac:dyDescent="0.2">
      <c r="A16" s="4" t="s">
        <v>12</v>
      </c>
      <c r="B16" s="4" t="s">
        <v>27</v>
      </c>
      <c r="C16" s="4" t="s">
        <v>19</v>
      </c>
      <c r="D16" s="4" t="s">
        <v>14</v>
      </c>
      <c r="E16" s="4" t="s">
        <v>14</v>
      </c>
      <c r="F16" s="4" t="s">
        <v>28</v>
      </c>
      <c r="G16" s="4" t="s">
        <v>28</v>
      </c>
      <c r="H16" s="4" t="s">
        <v>15</v>
      </c>
      <c r="I16" s="4" t="s">
        <v>16</v>
      </c>
      <c r="J16" s="4" t="s">
        <v>17</v>
      </c>
      <c r="K16" s="4" t="s">
        <v>18</v>
      </c>
      <c r="L16" s="4" t="s">
        <v>28</v>
      </c>
      <c r="M16" s="4" t="s">
        <v>27</v>
      </c>
      <c r="N16" s="4" t="s">
        <v>36</v>
      </c>
      <c r="O16" s="4" t="s">
        <v>133</v>
      </c>
      <c r="P16" s="4" t="s">
        <v>20</v>
      </c>
      <c r="Q16" s="4" t="s">
        <v>21</v>
      </c>
    </row>
    <row r="17" spans="1:17" x14ac:dyDescent="0.2">
      <c r="A17" s="4" t="s">
        <v>12</v>
      </c>
      <c r="B17" s="4" t="s">
        <v>27</v>
      </c>
      <c r="C17" s="4" t="s">
        <v>22</v>
      </c>
      <c r="D17" s="4" t="s">
        <v>14</v>
      </c>
      <c r="E17" s="4" t="s">
        <v>14</v>
      </c>
      <c r="F17" s="4" t="s">
        <v>28</v>
      </c>
      <c r="G17" s="4" t="s">
        <v>28</v>
      </c>
      <c r="H17" s="4" t="s">
        <v>15</v>
      </c>
      <c r="I17" s="4" t="s">
        <v>16</v>
      </c>
      <c r="J17" s="4" t="s">
        <v>17</v>
      </c>
      <c r="K17" s="4" t="s">
        <v>18</v>
      </c>
      <c r="L17" s="4" t="s">
        <v>28</v>
      </c>
      <c r="M17" s="4" t="s">
        <v>27</v>
      </c>
      <c r="N17" s="4" t="s">
        <v>37</v>
      </c>
      <c r="O17" s="4" t="s">
        <v>134</v>
      </c>
      <c r="P17" s="4" t="s">
        <v>20</v>
      </c>
      <c r="Q17" s="4" t="s">
        <v>21</v>
      </c>
    </row>
    <row r="18" spans="1:17" x14ac:dyDescent="0.2">
      <c r="A18" s="4" t="s">
        <v>12</v>
      </c>
      <c r="B18" s="4" t="s">
        <v>27</v>
      </c>
      <c r="C18" s="4" t="s">
        <v>22</v>
      </c>
      <c r="D18" s="4" t="s">
        <v>14</v>
      </c>
      <c r="E18" s="4" t="s">
        <v>14</v>
      </c>
      <c r="F18" s="4" t="s">
        <v>28</v>
      </c>
      <c r="G18" s="4" t="s">
        <v>28</v>
      </c>
      <c r="H18" s="4" t="s">
        <v>15</v>
      </c>
      <c r="I18" s="4" t="s">
        <v>16</v>
      </c>
      <c r="J18" s="4" t="s">
        <v>17</v>
      </c>
      <c r="K18" s="4" t="s">
        <v>18</v>
      </c>
      <c r="L18" s="4" t="s">
        <v>28</v>
      </c>
      <c r="M18" s="4" t="s">
        <v>27</v>
      </c>
      <c r="N18" s="4" t="s">
        <v>38</v>
      </c>
      <c r="O18" s="4" t="s">
        <v>135</v>
      </c>
      <c r="P18" s="4" t="s">
        <v>20</v>
      </c>
      <c r="Q18" s="4" t="s">
        <v>21</v>
      </c>
    </row>
    <row r="19" spans="1:17" x14ac:dyDescent="0.2">
      <c r="A19" s="4" t="s">
        <v>12</v>
      </c>
      <c r="B19" s="4" t="s">
        <v>27</v>
      </c>
      <c r="C19" s="4" t="s">
        <v>19</v>
      </c>
      <c r="D19" s="4" t="s">
        <v>14</v>
      </c>
      <c r="E19" s="4" t="s">
        <v>14</v>
      </c>
      <c r="F19" s="4" t="s">
        <v>28</v>
      </c>
      <c r="G19" s="4" t="s">
        <v>28</v>
      </c>
      <c r="H19" s="4" t="s">
        <v>15</v>
      </c>
      <c r="I19" s="4" t="s">
        <v>16</v>
      </c>
      <c r="J19" s="4" t="s">
        <v>17</v>
      </c>
      <c r="K19" s="4" t="s">
        <v>18</v>
      </c>
      <c r="L19" s="4" t="s">
        <v>28</v>
      </c>
      <c r="M19" s="4" t="s">
        <v>27</v>
      </c>
      <c r="N19" s="4" t="s">
        <v>39</v>
      </c>
      <c r="O19" s="4" t="s">
        <v>136</v>
      </c>
      <c r="P19" s="4" t="s">
        <v>20</v>
      </c>
      <c r="Q19" s="4" t="s">
        <v>21</v>
      </c>
    </row>
    <row r="20" spans="1:17" x14ac:dyDescent="0.2">
      <c r="A20" s="4" t="s">
        <v>12</v>
      </c>
      <c r="B20" s="4" t="s">
        <v>27</v>
      </c>
      <c r="C20" s="4" t="s">
        <v>19</v>
      </c>
      <c r="D20" s="4" t="s">
        <v>14</v>
      </c>
      <c r="E20" s="4" t="s">
        <v>14</v>
      </c>
      <c r="F20" s="4" t="s">
        <v>28</v>
      </c>
      <c r="G20" s="4" t="s">
        <v>28</v>
      </c>
      <c r="H20" s="4" t="s">
        <v>15</v>
      </c>
      <c r="I20" s="4" t="s">
        <v>16</v>
      </c>
      <c r="J20" s="4" t="s">
        <v>17</v>
      </c>
      <c r="K20" s="4" t="s">
        <v>18</v>
      </c>
      <c r="L20" s="4" t="s">
        <v>28</v>
      </c>
      <c r="M20" s="4" t="s">
        <v>27</v>
      </c>
      <c r="N20" s="4" t="s">
        <v>40</v>
      </c>
      <c r="O20" s="4" t="s">
        <v>137</v>
      </c>
      <c r="P20" s="4" t="s">
        <v>20</v>
      </c>
      <c r="Q20" s="4" t="s">
        <v>21</v>
      </c>
    </row>
    <row r="21" spans="1:17" x14ac:dyDescent="0.2">
      <c r="A21" s="4" t="s">
        <v>12</v>
      </c>
      <c r="B21" s="4" t="s">
        <v>27</v>
      </c>
      <c r="C21" s="4" t="s">
        <v>22</v>
      </c>
      <c r="D21" s="4" t="s">
        <v>14</v>
      </c>
      <c r="E21" s="4" t="s">
        <v>14</v>
      </c>
      <c r="F21" s="4" t="s">
        <v>28</v>
      </c>
      <c r="G21" s="4" t="s">
        <v>28</v>
      </c>
      <c r="H21" s="4" t="s">
        <v>15</v>
      </c>
      <c r="I21" s="4" t="s">
        <v>16</v>
      </c>
      <c r="J21" s="4" t="s">
        <v>17</v>
      </c>
      <c r="K21" s="4" t="s">
        <v>18</v>
      </c>
      <c r="L21" s="4" t="s">
        <v>28</v>
      </c>
      <c r="M21" s="4" t="s">
        <v>27</v>
      </c>
      <c r="N21" s="4" t="s">
        <v>41</v>
      </c>
      <c r="O21" s="4" t="s">
        <v>138</v>
      </c>
      <c r="P21" s="4" t="s">
        <v>20</v>
      </c>
      <c r="Q21" s="4" t="s">
        <v>21</v>
      </c>
    </row>
    <row r="22" spans="1:17" x14ac:dyDescent="0.2">
      <c r="A22" s="4" t="s">
        <v>12</v>
      </c>
      <c r="B22" s="4" t="s">
        <v>27</v>
      </c>
      <c r="C22" s="4" t="s">
        <v>22</v>
      </c>
      <c r="D22" s="4" t="s">
        <v>14</v>
      </c>
      <c r="E22" s="4" t="s">
        <v>14</v>
      </c>
      <c r="F22" s="4" t="s">
        <v>28</v>
      </c>
      <c r="G22" s="4" t="s">
        <v>28</v>
      </c>
      <c r="H22" s="4" t="s">
        <v>15</v>
      </c>
      <c r="I22" s="4" t="s">
        <v>16</v>
      </c>
      <c r="J22" s="4" t="s">
        <v>17</v>
      </c>
      <c r="K22" s="4" t="s">
        <v>18</v>
      </c>
      <c r="L22" s="4" t="s">
        <v>28</v>
      </c>
      <c r="M22" s="4" t="s">
        <v>27</v>
      </c>
      <c r="N22" s="4" t="s">
        <v>42</v>
      </c>
      <c r="O22" s="4" t="s">
        <v>139</v>
      </c>
      <c r="P22" s="4" t="s">
        <v>20</v>
      </c>
      <c r="Q22" s="4" t="s">
        <v>21</v>
      </c>
    </row>
    <row r="23" spans="1:17" x14ac:dyDescent="0.2">
      <c r="A23" s="4" t="s">
        <v>12</v>
      </c>
      <c r="B23" s="4" t="s">
        <v>27</v>
      </c>
      <c r="C23" s="4" t="s">
        <v>19</v>
      </c>
      <c r="D23" s="4" t="s">
        <v>14</v>
      </c>
      <c r="E23" s="4" t="s">
        <v>14</v>
      </c>
      <c r="F23" s="4" t="s">
        <v>28</v>
      </c>
      <c r="G23" s="4" t="s">
        <v>28</v>
      </c>
      <c r="H23" s="4" t="s">
        <v>15</v>
      </c>
      <c r="I23" s="4" t="s">
        <v>16</v>
      </c>
      <c r="J23" s="4" t="s">
        <v>17</v>
      </c>
      <c r="K23" s="4" t="s">
        <v>18</v>
      </c>
      <c r="L23" s="4" t="s">
        <v>28</v>
      </c>
      <c r="M23" s="4" t="s">
        <v>27</v>
      </c>
      <c r="N23" s="4" t="s">
        <v>43</v>
      </c>
      <c r="O23" s="4" t="s">
        <v>140</v>
      </c>
      <c r="P23" s="4" t="s">
        <v>20</v>
      </c>
      <c r="Q23" s="4" t="s">
        <v>21</v>
      </c>
    </row>
    <row r="24" spans="1:17" x14ac:dyDescent="0.2">
      <c r="A24" s="4" t="s">
        <v>12</v>
      </c>
      <c r="B24" s="4" t="s">
        <v>27</v>
      </c>
      <c r="C24" s="4" t="s">
        <v>19</v>
      </c>
      <c r="D24" s="4" t="s">
        <v>14</v>
      </c>
      <c r="E24" s="4" t="s">
        <v>14</v>
      </c>
      <c r="F24" s="4" t="s">
        <v>28</v>
      </c>
      <c r="G24" s="4" t="s">
        <v>28</v>
      </c>
      <c r="H24" s="4" t="s">
        <v>15</v>
      </c>
      <c r="I24" s="4" t="s">
        <v>16</v>
      </c>
      <c r="J24" s="4" t="s">
        <v>17</v>
      </c>
      <c r="K24" s="4" t="s">
        <v>18</v>
      </c>
      <c r="L24" s="4" t="s">
        <v>28</v>
      </c>
      <c r="M24" s="4" t="s">
        <v>27</v>
      </c>
      <c r="N24" s="4" t="s">
        <v>44</v>
      </c>
      <c r="O24" s="4" t="s">
        <v>141</v>
      </c>
      <c r="P24" s="4" t="s">
        <v>20</v>
      </c>
      <c r="Q24" s="4" t="s">
        <v>21</v>
      </c>
    </row>
    <row r="25" spans="1:17" x14ac:dyDescent="0.2">
      <c r="A25" s="4" t="s">
        <v>12</v>
      </c>
      <c r="B25" s="4" t="s">
        <v>27</v>
      </c>
      <c r="C25" s="4" t="s">
        <v>22</v>
      </c>
      <c r="D25" s="4" t="s">
        <v>14</v>
      </c>
      <c r="E25" s="4" t="s">
        <v>14</v>
      </c>
      <c r="F25" s="4" t="s">
        <v>28</v>
      </c>
      <c r="G25" s="4" t="s">
        <v>28</v>
      </c>
      <c r="H25" s="4" t="s">
        <v>15</v>
      </c>
      <c r="I25" s="4" t="s">
        <v>16</v>
      </c>
      <c r="J25" s="4" t="s">
        <v>17</v>
      </c>
      <c r="K25" s="4" t="s">
        <v>18</v>
      </c>
      <c r="L25" s="4" t="s">
        <v>28</v>
      </c>
      <c r="M25" s="4" t="s">
        <v>27</v>
      </c>
      <c r="N25" s="4" t="s">
        <v>45</v>
      </c>
      <c r="O25" s="4" t="s">
        <v>142</v>
      </c>
      <c r="P25" s="4" t="s">
        <v>20</v>
      </c>
      <c r="Q25" s="4" t="s">
        <v>21</v>
      </c>
    </row>
    <row r="26" spans="1:17" x14ac:dyDescent="0.2">
      <c r="A26" s="4" t="s">
        <v>12</v>
      </c>
      <c r="B26" s="4" t="s">
        <v>27</v>
      </c>
      <c r="C26" s="4" t="s">
        <v>22</v>
      </c>
      <c r="D26" s="4" t="s">
        <v>14</v>
      </c>
      <c r="E26" s="4" t="s">
        <v>14</v>
      </c>
      <c r="F26" s="4" t="s">
        <v>28</v>
      </c>
      <c r="G26" s="4" t="s">
        <v>28</v>
      </c>
      <c r="H26" s="4" t="s">
        <v>15</v>
      </c>
      <c r="I26" s="4" t="s">
        <v>16</v>
      </c>
      <c r="J26" s="4" t="s">
        <v>17</v>
      </c>
      <c r="K26" s="4" t="s">
        <v>18</v>
      </c>
      <c r="L26" s="4" t="s">
        <v>28</v>
      </c>
      <c r="M26" s="4" t="s">
        <v>27</v>
      </c>
      <c r="N26" s="4" t="s">
        <v>46</v>
      </c>
      <c r="O26" s="4" t="s">
        <v>143</v>
      </c>
      <c r="P26" s="4" t="s">
        <v>20</v>
      </c>
      <c r="Q26" s="4" t="s">
        <v>21</v>
      </c>
    </row>
    <row r="27" spans="1:17" x14ac:dyDescent="0.2">
      <c r="A27" s="4" t="s">
        <v>12</v>
      </c>
      <c r="B27" s="4" t="s">
        <v>27</v>
      </c>
      <c r="C27" s="4" t="s">
        <v>19</v>
      </c>
      <c r="D27" s="4" t="s">
        <v>14</v>
      </c>
      <c r="E27" s="4" t="s">
        <v>14</v>
      </c>
      <c r="F27" s="4" t="s">
        <v>28</v>
      </c>
      <c r="G27" s="4" t="s">
        <v>28</v>
      </c>
      <c r="H27" s="4" t="s">
        <v>15</v>
      </c>
      <c r="I27" s="4" t="s">
        <v>16</v>
      </c>
      <c r="J27" s="4" t="s">
        <v>17</v>
      </c>
      <c r="K27" s="4" t="s">
        <v>18</v>
      </c>
      <c r="L27" s="4" t="s">
        <v>28</v>
      </c>
      <c r="M27" s="4" t="s">
        <v>27</v>
      </c>
      <c r="N27" s="4" t="s">
        <v>168</v>
      </c>
      <c r="O27" s="4" t="s">
        <v>159</v>
      </c>
      <c r="P27" s="29" t="s">
        <v>148</v>
      </c>
      <c r="Q27" s="29" t="s">
        <v>149</v>
      </c>
    </row>
    <row r="28" spans="1:17" x14ac:dyDescent="0.2">
      <c r="A28" s="4" t="s">
        <v>12</v>
      </c>
      <c r="B28" s="4" t="s">
        <v>27</v>
      </c>
      <c r="C28" s="4" t="s">
        <v>19</v>
      </c>
      <c r="D28" s="4" t="s">
        <v>14</v>
      </c>
      <c r="E28" s="4" t="s">
        <v>14</v>
      </c>
      <c r="F28" s="4" t="s">
        <v>28</v>
      </c>
      <c r="G28" s="4" t="s">
        <v>28</v>
      </c>
      <c r="H28" s="4" t="s">
        <v>15</v>
      </c>
      <c r="I28" s="4" t="s">
        <v>16</v>
      </c>
      <c r="J28" s="4" t="s">
        <v>17</v>
      </c>
      <c r="K28" s="4" t="s">
        <v>18</v>
      </c>
      <c r="L28" s="4" t="s">
        <v>28</v>
      </c>
      <c r="M28" s="4" t="s">
        <v>27</v>
      </c>
      <c r="N28" s="4" t="s">
        <v>169</v>
      </c>
      <c r="O28" s="4" t="s">
        <v>160</v>
      </c>
      <c r="P28" s="29" t="s">
        <v>148</v>
      </c>
      <c r="Q28" s="29" t="s">
        <v>149</v>
      </c>
    </row>
    <row r="29" spans="1:17" x14ac:dyDescent="0.2">
      <c r="A29" s="4" t="s">
        <v>12</v>
      </c>
      <c r="B29" s="4" t="s">
        <v>27</v>
      </c>
      <c r="C29" s="4" t="s">
        <v>19</v>
      </c>
      <c r="D29" s="4" t="s">
        <v>14</v>
      </c>
      <c r="E29" s="4" t="s">
        <v>14</v>
      </c>
      <c r="F29" s="4" t="s">
        <v>28</v>
      </c>
      <c r="G29" s="4" t="s">
        <v>28</v>
      </c>
      <c r="H29" s="4" t="s">
        <v>15</v>
      </c>
      <c r="I29" s="4" t="s">
        <v>16</v>
      </c>
      <c r="J29" s="4" t="s">
        <v>17</v>
      </c>
      <c r="K29" s="4" t="s">
        <v>18</v>
      </c>
      <c r="L29" s="4" t="s">
        <v>28</v>
      </c>
      <c r="M29" s="4" t="s">
        <v>27</v>
      </c>
      <c r="N29" s="4" t="s">
        <v>170</v>
      </c>
      <c r="O29" s="4" t="s">
        <v>161</v>
      </c>
      <c r="P29" s="29" t="s">
        <v>148</v>
      </c>
      <c r="Q29" s="29" t="s">
        <v>149</v>
      </c>
    </row>
    <row r="30" spans="1:17" x14ac:dyDescent="0.2">
      <c r="A30" s="8" t="s">
        <v>12</v>
      </c>
      <c r="B30" s="8" t="s">
        <v>47</v>
      </c>
      <c r="C30" s="8" t="s">
        <v>19</v>
      </c>
      <c r="D30" s="8" t="s">
        <v>14</v>
      </c>
      <c r="E30" s="8" t="s">
        <v>14</v>
      </c>
      <c r="F30" s="8" t="s">
        <v>28</v>
      </c>
      <c r="G30" s="8" t="s">
        <v>28</v>
      </c>
      <c r="H30" s="8" t="s">
        <v>15</v>
      </c>
      <c r="I30" s="8" t="s">
        <v>16</v>
      </c>
      <c r="J30" s="8" t="s">
        <v>17</v>
      </c>
      <c r="K30" s="8" t="s">
        <v>18</v>
      </c>
      <c r="L30" s="8" t="s">
        <v>28</v>
      </c>
      <c r="M30" s="8" t="s">
        <v>47</v>
      </c>
      <c r="N30" s="8" t="s">
        <v>48</v>
      </c>
      <c r="O30" s="8" t="s">
        <v>49</v>
      </c>
      <c r="P30" s="8" t="s">
        <v>20</v>
      </c>
      <c r="Q30" s="8" t="s">
        <v>21</v>
      </c>
    </row>
    <row r="31" spans="1:17" x14ac:dyDescent="0.2">
      <c r="A31" s="8" t="s">
        <v>12</v>
      </c>
      <c r="B31" s="8" t="s">
        <v>47</v>
      </c>
      <c r="C31" s="8" t="s">
        <v>22</v>
      </c>
      <c r="D31" s="8" t="s">
        <v>14</v>
      </c>
      <c r="E31" s="8" t="s">
        <v>14</v>
      </c>
      <c r="F31" s="8" t="s">
        <v>28</v>
      </c>
      <c r="G31" s="8" t="s">
        <v>28</v>
      </c>
      <c r="H31" s="8" t="s">
        <v>15</v>
      </c>
      <c r="I31" s="8" t="s">
        <v>16</v>
      </c>
      <c r="J31" s="8" t="s">
        <v>17</v>
      </c>
      <c r="K31" s="8" t="s">
        <v>18</v>
      </c>
      <c r="L31" s="8" t="s">
        <v>28</v>
      </c>
      <c r="M31" s="8" t="s">
        <v>47</v>
      </c>
      <c r="N31" s="8" t="s">
        <v>50</v>
      </c>
      <c r="O31" s="8" t="s">
        <v>51</v>
      </c>
      <c r="P31" s="8" t="s">
        <v>20</v>
      </c>
      <c r="Q31" s="8" t="s">
        <v>21</v>
      </c>
    </row>
    <row r="32" spans="1:17" x14ac:dyDescent="0.2">
      <c r="A32" s="8" t="s">
        <v>12</v>
      </c>
      <c r="B32" s="8" t="s">
        <v>47</v>
      </c>
      <c r="C32" s="8" t="s">
        <v>19</v>
      </c>
      <c r="D32" s="8" t="s">
        <v>14</v>
      </c>
      <c r="E32" s="8" t="s">
        <v>14</v>
      </c>
      <c r="F32" s="8" t="s">
        <v>28</v>
      </c>
      <c r="G32" s="8" t="s">
        <v>28</v>
      </c>
      <c r="H32" s="8" t="s">
        <v>15</v>
      </c>
      <c r="I32" s="8" t="s">
        <v>16</v>
      </c>
      <c r="J32" s="8" t="s">
        <v>17</v>
      </c>
      <c r="K32" s="8" t="s">
        <v>18</v>
      </c>
      <c r="L32" s="8" t="s">
        <v>28</v>
      </c>
      <c r="M32" s="8" t="s">
        <v>47</v>
      </c>
      <c r="N32" s="8" t="s">
        <v>52</v>
      </c>
      <c r="O32" s="8" t="s">
        <v>53</v>
      </c>
      <c r="P32" s="8" t="s">
        <v>20</v>
      </c>
      <c r="Q32" s="8" t="s">
        <v>21</v>
      </c>
    </row>
    <row r="33" spans="1:17" x14ac:dyDescent="0.2">
      <c r="A33" s="8" t="s">
        <v>12</v>
      </c>
      <c r="B33" s="8" t="s">
        <v>47</v>
      </c>
      <c r="C33" s="8" t="s">
        <v>19</v>
      </c>
      <c r="D33" s="8" t="s">
        <v>14</v>
      </c>
      <c r="E33" s="8" t="s">
        <v>14</v>
      </c>
      <c r="F33" s="8" t="s">
        <v>28</v>
      </c>
      <c r="G33" s="8" t="s">
        <v>28</v>
      </c>
      <c r="H33" s="8" t="s">
        <v>15</v>
      </c>
      <c r="I33" s="8" t="s">
        <v>16</v>
      </c>
      <c r="J33" s="8" t="s">
        <v>17</v>
      </c>
      <c r="K33" s="8" t="s">
        <v>18</v>
      </c>
      <c r="L33" s="8" t="s">
        <v>28</v>
      </c>
      <c r="M33" s="8" t="s">
        <v>47</v>
      </c>
      <c r="N33" s="8" t="s">
        <v>54</v>
      </c>
      <c r="O33" s="8" t="s">
        <v>55</v>
      </c>
      <c r="P33" s="8" t="s">
        <v>20</v>
      </c>
      <c r="Q33" s="8" t="s">
        <v>21</v>
      </c>
    </row>
    <row r="34" spans="1:17" x14ac:dyDescent="0.2">
      <c r="A34" s="8" t="s">
        <v>12</v>
      </c>
      <c r="B34" s="8" t="s">
        <v>47</v>
      </c>
      <c r="C34" s="8" t="s">
        <v>19</v>
      </c>
      <c r="D34" s="8" t="s">
        <v>14</v>
      </c>
      <c r="E34" s="8" t="s">
        <v>14</v>
      </c>
      <c r="F34" s="8" t="s">
        <v>28</v>
      </c>
      <c r="G34" s="8" t="s">
        <v>28</v>
      </c>
      <c r="H34" s="8" t="s">
        <v>15</v>
      </c>
      <c r="I34" s="8" t="s">
        <v>16</v>
      </c>
      <c r="J34" s="8" t="s">
        <v>17</v>
      </c>
      <c r="K34" s="8" t="s">
        <v>18</v>
      </c>
      <c r="L34" s="8" t="s">
        <v>28</v>
      </c>
      <c r="M34" s="8" t="s">
        <v>47</v>
      </c>
      <c r="N34" s="8" t="s">
        <v>56</v>
      </c>
      <c r="O34" s="8" t="s">
        <v>57</v>
      </c>
      <c r="P34" s="8" t="s">
        <v>20</v>
      </c>
      <c r="Q34" s="8" t="s">
        <v>21</v>
      </c>
    </row>
    <row r="35" spans="1:17" x14ac:dyDescent="0.2">
      <c r="A35" s="8" t="s">
        <v>12</v>
      </c>
      <c r="B35" s="8" t="s">
        <v>47</v>
      </c>
      <c r="C35" s="8" t="s">
        <v>22</v>
      </c>
      <c r="D35" s="8" t="s">
        <v>14</v>
      </c>
      <c r="E35" s="8" t="s">
        <v>14</v>
      </c>
      <c r="F35" s="8" t="s">
        <v>28</v>
      </c>
      <c r="G35" s="8" t="s">
        <v>28</v>
      </c>
      <c r="H35" s="8" t="s">
        <v>15</v>
      </c>
      <c r="I35" s="8" t="s">
        <v>16</v>
      </c>
      <c r="J35" s="8" t="s">
        <v>17</v>
      </c>
      <c r="K35" s="8" t="s">
        <v>18</v>
      </c>
      <c r="L35" s="8" t="s">
        <v>28</v>
      </c>
      <c r="M35" s="8" t="s">
        <v>47</v>
      </c>
      <c r="N35" s="8" t="s">
        <v>58</v>
      </c>
      <c r="O35" s="8" t="s">
        <v>59</v>
      </c>
      <c r="P35" s="8" t="s">
        <v>20</v>
      </c>
      <c r="Q35" s="8" t="s">
        <v>21</v>
      </c>
    </row>
    <row r="36" spans="1:17" x14ac:dyDescent="0.2">
      <c r="A36" s="8" t="s">
        <v>12</v>
      </c>
      <c r="B36" s="8" t="s">
        <v>47</v>
      </c>
      <c r="C36" s="8" t="s">
        <v>22</v>
      </c>
      <c r="D36" s="8" t="s">
        <v>14</v>
      </c>
      <c r="E36" s="8" t="s">
        <v>14</v>
      </c>
      <c r="F36" s="8" t="s">
        <v>28</v>
      </c>
      <c r="G36" s="8" t="s">
        <v>28</v>
      </c>
      <c r="H36" s="8" t="s">
        <v>15</v>
      </c>
      <c r="I36" s="8" t="s">
        <v>16</v>
      </c>
      <c r="J36" s="8" t="s">
        <v>17</v>
      </c>
      <c r="K36" s="8" t="s">
        <v>18</v>
      </c>
      <c r="L36" s="8" t="s">
        <v>28</v>
      </c>
      <c r="M36" s="8" t="s">
        <v>47</v>
      </c>
      <c r="N36" s="8" t="s">
        <v>60</v>
      </c>
      <c r="O36" s="8" t="s">
        <v>61</v>
      </c>
      <c r="P36" s="8" t="s">
        <v>20</v>
      </c>
      <c r="Q36" s="8" t="s">
        <v>21</v>
      </c>
    </row>
    <row r="37" spans="1:17" x14ac:dyDescent="0.2">
      <c r="A37" s="8" t="s">
        <v>12</v>
      </c>
      <c r="B37" s="8" t="s">
        <v>47</v>
      </c>
      <c r="C37" s="8" t="s">
        <v>22</v>
      </c>
      <c r="D37" s="8" t="s">
        <v>14</v>
      </c>
      <c r="E37" s="8" t="s">
        <v>14</v>
      </c>
      <c r="F37" s="8" t="s">
        <v>28</v>
      </c>
      <c r="G37" s="8" t="s">
        <v>28</v>
      </c>
      <c r="H37" s="8" t="s">
        <v>15</v>
      </c>
      <c r="I37" s="8" t="s">
        <v>16</v>
      </c>
      <c r="J37" s="8" t="s">
        <v>17</v>
      </c>
      <c r="K37" s="8" t="s">
        <v>18</v>
      </c>
      <c r="L37" s="8" t="s">
        <v>28</v>
      </c>
      <c r="M37" s="8" t="s">
        <v>47</v>
      </c>
      <c r="N37" s="8" t="s">
        <v>62</v>
      </c>
      <c r="O37" s="8" t="s">
        <v>63</v>
      </c>
      <c r="P37" s="8" t="s">
        <v>20</v>
      </c>
      <c r="Q37" s="8" t="s">
        <v>21</v>
      </c>
    </row>
    <row r="38" spans="1:17" x14ac:dyDescent="0.2">
      <c r="A38" s="8" t="s">
        <v>12</v>
      </c>
      <c r="B38" s="8" t="s">
        <v>47</v>
      </c>
      <c r="C38" s="8" t="s">
        <v>19</v>
      </c>
      <c r="D38" s="8" t="s">
        <v>14</v>
      </c>
      <c r="E38" s="8" t="s">
        <v>14</v>
      </c>
      <c r="F38" s="8" t="s">
        <v>28</v>
      </c>
      <c r="G38" s="8" t="s">
        <v>28</v>
      </c>
      <c r="H38" s="8" t="s">
        <v>15</v>
      </c>
      <c r="I38" s="8" t="s">
        <v>16</v>
      </c>
      <c r="J38" s="8" t="s">
        <v>17</v>
      </c>
      <c r="K38" s="8" t="s">
        <v>18</v>
      </c>
      <c r="L38" s="8" t="s">
        <v>28</v>
      </c>
      <c r="M38" s="8" t="s">
        <v>47</v>
      </c>
      <c r="N38" s="8" t="s">
        <v>64</v>
      </c>
      <c r="O38" s="8" t="s">
        <v>65</v>
      </c>
      <c r="P38" s="8" t="s">
        <v>20</v>
      </c>
      <c r="Q38" s="8" t="s">
        <v>21</v>
      </c>
    </row>
    <row r="39" spans="1:17" x14ac:dyDescent="0.2">
      <c r="A39" s="8" t="s">
        <v>12</v>
      </c>
      <c r="B39" s="8" t="s">
        <v>47</v>
      </c>
      <c r="C39" s="8" t="s">
        <v>19</v>
      </c>
      <c r="D39" s="8" t="s">
        <v>14</v>
      </c>
      <c r="E39" s="8" t="s">
        <v>14</v>
      </c>
      <c r="F39" s="8" t="s">
        <v>28</v>
      </c>
      <c r="G39" s="8" t="s">
        <v>28</v>
      </c>
      <c r="H39" s="8" t="s">
        <v>15</v>
      </c>
      <c r="I39" s="8" t="s">
        <v>16</v>
      </c>
      <c r="J39" s="8" t="s">
        <v>17</v>
      </c>
      <c r="K39" s="8" t="s">
        <v>18</v>
      </c>
      <c r="L39" s="8" t="s">
        <v>28</v>
      </c>
      <c r="M39" s="8" t="s">
        <v>47</v>
      </c>
      <c r="N39" s="8" t="s">
        <v>175</v>
      </c>
      <c r="O39" s="8" t="s">
        <v>66</v>
      </c>
      <c r="P39" s="8" t="s">
        <v>20</v>
      </c>
      <c r="Q39" s="8" t="s">
        <v>21</v>
      </c>
    </row>
    <row r="40" spans="1:17" x14ac:dyDescent="0.2">
      <c r="A40" s="8" t="s">
        <v>12</v>
      </c>
      <c r="B40" s="8" t="s">
        <v>47</v>
      </c>
      <c r="C40" s="8" t="s">
        <v>19</v>
      </c>
      <c r="D40" s="8" t="s">
        <v>14</v>
      </c>
      <c r="E40" s="8" t="s">
        <v>14</v>
      </c>
      <c r="F40" s="8" t="s">
        <v>28</v>
      </c>
      <c r="G40" s="8" t="s">
        <v>28</v>
      </c>
      <c r="H40" s="8" t="s">
        <v>15</v>
      </c>
      <c r="I40" s="8" t="s">
        <v>16</v>
      </c>
      <c r="J40" s="8" t="s">
        <v>17</v>
      </c>
      <c r="K40" s="8" t="s">
        <v>18</v>
      </c>
      <c r="L40" s="8" t="s">
        <v>28</v>
      </c>
      <c r="M40" s="8" t="s">
        <v>47</v>
      </c>
      <c r="N40" s="8" t="s">
        <v>176</v>
      </c>
      <c r="O40" s="8" t="s">
        <v>67</v>
      </c>
      <c r="P40" s="8" t="s">
        <v>20</v>
      </c>
      <c r="Q40" s="8" t="s">
        <v>21</v>
      </c>
    </row>
    <row r="41" spans="1:17" x14ac:dyDescent="0.2">
      <c r="A41" s="8" t="s">
        <v>12</v>
      </c>
      <c r="B41" s="8" t="s">
        <v>47</v>
      </c>
      <c r="C41" s="8" t="s">
        <v>22</v>
      </c>
      <c r="D41" s="8" t="s">
        <v>14</v>
      </c>
      <c r="E41" s="8" t="s">
        <v>14</v>
      </c>
      <c r="F41" s="8" t="s">
        <v>28</v>
      </c>
      <c r="G41" s="8" t="s">
        <v>28</v>
      </c>
      <c r="H41" s="8" t="s">
        <v>15</v>
      </c>
      <c r="I41" s="8" t="s">
        <v>16</v>
      </c>
      <c r="J41" s="8" t="s">
        <v>17</v>
      </c>
      <c r="K41" s="8" t="s">
        <v>18</v>
      </c>
      <c r="L41" s="8" t="s">
        <v>28</v>
      </c>
      <c r="M41" s="8" t="s">
        <v>47</v>
      </c>
      <c r="N41" s="8" t="s">
        <v>68</v>
      </c>
      <c r="O41" s="8" t="s">
        <v>69</v>
      </c>
      <c r="P41" s="8" t="s">
        <v>20</v>
      </c>
      <c r="Q41" s="8" t="s">
        <v>21</v>
      </c>
    </row>
    <row r="42" spans="1:17" x14ac:dyDescent="0.2">
      <c r="A42" s="8" t="s">
        <v>12</v>
      </c>
      <c r="B42" s="8" t="s">
        <v>47</v>
      </c>
      <c r="C42" s="8" t="s">
        <v>19</v>
      </c>
      <c r="D42" s="8" t="s">
        <v>14</v>
      </c>
      <c r="E42" s="8" t="s">
        <v>14</v>
      </c>
      <c r="F42" s="8" t="s">
        <v>28</v>
      </c>
      <c r="G42" s="8" t="s">
        <v>28</v>
      </c>
      <c r="H42" s="8" t="s">
        <v>15</v>
      </c>
      <c r="I42" s="8" t="s">
        <v>16</v>
      </c>
      <c r="J42" s="8" t="s">
        <v>17</v>
      </c>
      <c r="K42" s="8" t="s">
        <v>18</v>
      </c>
      <c r="L42" s="8" t="s">
        <v>28</v>
      </c>
      <c r="M42" s="8" t="s">
        <v>47</v>
      </c>
      <c r="N42" s="8" t="s">
        <v>70</v>
      </c>
      <c r="O42" s="8" t="s">
        <v>71</v>
      </c>
      <c r="P42" s="8" t="s">
        <v>20</v>
      </c>
      <c r="Q42" s="8" t="s">
        <v>21</v>
      </c>
    </row>
    <row r="43" spans="1:17" x14ac:dyDescent="0.2">
      <c r="A43" s="8" t="s">
        <v>12</v>
      </c>
      <c r="B43" s="8" t="s">
        <v>47</v>
      </c>
      <c r="C43" s="8" t="s">
        <v>22</v>
      </c>
      <c r="D43" s="8" t="s">
        <v>14</v>
      </c>
      <c r="E43" s="8" t="s">
        <v>14</v>
      </c>
      <c r="F43" s="8" t="s">
        <v>28</v>
      </c>
      <c r="G43" s="8" t="s">
        <v>28</v>
      </c>
      <c r="H43" s="8" t="s">
        <v>15</v>
      </c>
      <c r="I43" s="8" t="s">
        <v>16</v>
      </c>
      <c r="J43" s="8" t="s">
        <v>17</v>
      </c>
      <c r="K43" s="8" t="s">
        <v>18</v>
      </c>
      <c r="L43" s="8" t="s">
        <v>28</v>
      </c>
      <c r="M43" s="8" t="s">
        <v>47</v>
      </c>
      <c r="N43" s="8" t="s">
        <v>72</v>
      </c>
      <c r="O43" s="8" t="s">
        <v>73</v>
      </c>
      <c r="P43" s="8" t="s">
        <v>20</v>
      </c>
      <c r="Q43" s="8" t="s">
        <v>21</v>
      </c>
    </row>
    <row r="44" spans="1:17" x14ac:dyDescent="0.2">
      <c r="A44" s="8" t="s">
        <v>12</v>
      </c>
      <c r="B44" s="8" t="s">
        <v>47</v>
      </c>
      <c r="C44" s="8" t="s">
        <v>19</v>
      </c>
      <c r="D44" s="8" t="s">
        <v>14</v>
      </c>
      <c r="E44" s="8" t="s">
        <v>14</v>
      </c>
      <c r="F44" s="8" t="s">
        <v>28</v>
      </c>
      <c r="G44" s="8" t="s">
        <v>28</v>
      </c>
      <c r="H44" s="8" t="s">
        <v>15</v>
      </c>
      <c r="I44" s="8" t="s">
        <v>16</v>
      </c>
      <c r="J44" s="8" t="s">
        <v>17</v>
      </c>
      <c r="K44" s="8" t="s">
        <v>18</v>
      </c>
      <c r="L44" s="8" t="s">
        <v>28</v>
      </c>
      <c r="M44" s="8" t="s">
        <v>47</v>
      </c>
      <c r="N44" s="8" t="s">
        <v>74</v>
      </c>
      <c r="O44" s="8" t="s">
        <v>75</v>
      </c>
      <c r="P44" s="8" t="s">
        <v>20</v>
      </c>
      <c r="Q44" s="8" t="s">
        <v>21</v>
      </c>
    </row>
    <row r="45" spans="1:17" x14ac:dyDescent="0.2">
      <c r="A45" s="8" t="s">
        <v>12</v>
      </c>
      <c r="B45" s="8" t="s">
        <v>47</v>
      </c>
      <c r="C45" s="8" t="s">
        <v>22</v>
      </c>
      <c r="D45" s="8" t="s">
        <v>14</v>
      </c>
      <c r="E45" s="8" t="s">
        <v>14</v>
      </c>
      <c r="F45" s="8" t="s">
        <v>28</v>
      </c>
      <c r="G45" s="8" t="s">
        <v>28</v>
      </c>
      <c r="H45" s="8" t="s">
        <v>15</v>
      </c>
      <c r="I45" s="8" t="s">
        <v>16</v>
      </c>
      <c r="J45" s="8" t="s">
        <v>17</v>
      </c>
      <c r="K45" s="8" t="s">
        <v>18</v>
      </c>
      <c r="L45" s="8" t="s">
        <v>28</v>
      </c>
      <c r="M45" s="8" t="s">
        <v>47</v>
      </c>
      <c r="N45" s="8" t="s">
        <v>76</v>
      </c>
      <c r="O45" s="8" t="s">
        <v>77</v>
      </c>
      <c r="P45" s="8" t="s">
        <v>20</v>
      </c>
      <c r="Q45" s="8" t="s">
        <v>21</v>
      </c>
    </row>
    <row r="46" spans="1:17" x14ac:dyDescent="0.2">
      <c r="A46" s="8" t="s">
        <v>12</v>
      </c>
      <c r="B46" s="8" t="s">
        <v>47</v>
      </c>
      <c r="C46" s="8" t="s">
        <v>19</v>
      </c>
      <c r="D46" s="8" t="s">
        <v>14</v>
      </c>
      <c r="E46" s="8" t="s">
        <v>14</v>
      </c>
      <c r="F46" s="8" t="s">
        <v>28</v>
      </c>
      <c r="G46" s="8" t="s">
        <v>28</v>
      </c>
      <c r="H46" s="8" t="s">
        <v>15</v>
      </c>
      <c r="I46" s="8" t="s">
        <v>16</v>
      </c>
      <c r="J46" s="8" t="s">
        <v>17</v>
      </c>
      <c r="K46" s="8" t="s">
        <v>18</v>
      </c>
      <c r="L46" s="8" t="s">
        <v>28</v>
      </c>
      <c r="M46" s="8" t="s">
        <v>47</v>
      </c>
      <c r="N46" s="8" t="s">
        <v>162</v>
      </c>
      <c r="O46" s="8" t="s">
        <v>154</v>
      </c>
      <c r="P46" s="8" t="s">
        <v>148</v>
      </c>
      <c r="Q46" s="8" t="s">
        <v>149</v>
      </c>
    </row>
    <row r="47" spans="1:17" x14ac:dyDescent="0.2">
      <c r="A47" s="8" t="s">
        <v>12</v>
      </c>
      <c r="B47" s="8" t="s">
        <v>47</v>
      </c>
      <c r="C47" s="8" t="s">
        <v>19</v>
      </c>
      <c r="D47" s="8" t="s">
        <v>14</v>
      </c>
      <c r="E47" s="8" t="s">
        <v>14</v>
      </c>
      <c r="F47" s="8" t="s">
        <v>28</v>
      </c>
      <c r="G47" s="8" t="s">
        <v>28</v>
      </c>
      <c r="H47" s="8" t="s">
        <v>15</v>
      </c>
      <c r="I47" s="8" t="s">
        <v>16</v>
      </c>
      <c r="J47" s="8" t="s">
        <v>17</v>
      </c>
      <c r="K47" s="8" t="s">
        <v>18</v>
      </c>
      <c r="L47" s="8" t="s">
        <v>28</v>
      </c>
      <c r="M47" s="8" t="s">
        <v>47</v>
      </c>
      <c r="N47" s="8" t="s">
        <v>163</v>
      </c>
      <c r="O47" s="8" t="s">
        <v>153</v>
      </c>
      <c r="P47" s="8" t="s">
        <v>148</v>
      </c>
      <c r="Q47" s="8" t="s">
        <v>149</v>
      </c>
    </row>
    <row r="48" spans="1:17" x14ac:dyDescent="0.2">
      <c r="A48" s="8" t="s">
        <v>12</v>
      </c>
      <c r="B48" s="8" t="s">
        <v>47</v>
      </c>
      <c r="C48" s="8" t="s">
        <v>19</v>
      </c>
      <c r="D48" s="8" t="s">
        <v>14</v>
      </c>
      <c r="E48" s="8" t="s">
        <v>14</v>
      </c>
      <c r="F48" s="8" t="s">
        <v>28</v>
      </c>
      <c r="G48" s="8" t="s">
        <v>28</v>
      </c>
      <c r="H48" s="8" t="s">
        <v>15</v>
      </c>
      <c r="I48" s="8" t="s">
        <v>16</v>
      </c>
      <c r="J48" s="8" t="s">
        <v>17</v>
      </c>
      <c r="K48" s="8" t="s">
        <v>18</v>
      </c>
      <c r="L48" s="8" t="s">
        <v>28</v>
      </c>
      <c r="M48" s="8" t="s">
        <v>47</v>
      </c>
      <c r="N48" s="8" t="s">
        <v>164</v>
      </c>
      <c r="O48" s="8" t="s">
        <v>155</v>
      </c>
      <c r="P48" s="8" t="s">
        <v>148</v>
      </c>
      <c r="Q48" s="8" t="s">
        <v>149</v>
      </c>
    </row>
    <row r="49" spans="1:17" x14ac:dyDescent="0.2">
      <c r="A49" s="8" t="s">
        <v>12</v>
      </c>
      <c r="B49" s="8" t="s">
        <v>47</v>
      </c>
      <c r="C49" s="8" t="s">
        <v>19</v>
      </c>
      <c r="D49" s="8" t="s">
        <v>14</v>
      </c>
      <c r="E49" s="8" t="s">
        <v>14</v>
      </c>
      <c r="F49" s="8" t="s">
        <v>28</v>
      </c>
      <c r="G49" s="8" t="s">
        <v>28</v>
      </c>
      <c r="H49" s="8" t="s">
        <v>15</v>
      </c>
      <c r="I49" s="8" t="s">
        <v>16</v>
      </c>
      <c r="J49" s="8" t="s">
        <v>17</v>
      </c>
      <c r="K49" s="8" t="s">
        <v>18</v>
      </c>
      <c r="L49" s="8" t="s">
        <v>28</v>
      </c>
      <c r="M49" s="8" t="s">
        <v>47</v>
      </c>
      <c r="N49" s="8" t="s">
        <v>165</v>
      </c>
      <c r="O49" s="8" t="s">
        <v>156</v>
      </c>
      <c r="P49" s="8" t="s">
        <v>148</v>
      </c>
      <c r="Q49" s="8" t="s">
        <v>149</v>
      </c>
    </row>
    <row r="50" spans="1:17" x14ac:dyDescent="0.2">
      <c r="A50" s="8" t="s">
        <v>12</v>
      </c>
      <c r="B50" s="8" t="s">
        <v>47</v>
      </c>
      <c r="C50" s="8" t="s">
        <v>19</v>
      </c>
      <c r="D50" s="8" t="s">
        <v>14</v>
      </c>
      <c r="E50" s="8" t="s">
        <v>14</v>
      </c>
      <c r="F50" s="8" t="s">
        <v>28</v>
      </c>
      <c r="G50" s="8" t="s">
        <v>28</v>
      </c>
      <c r="H50" s="8" t="s">
        <v>15</v>
      </c>
      <c r="I50" s="8" t="s">
        <v>16</v>
      </c>
      <c r="J50" s="8" t="s">
        <v>17</v>
      </c>
      <c r="K50" s="8" t="s">
        <v>18</v>
      </c>
      <c r="L50" s="8" t="s">
        <v>28</v>
      </c>
      <c r="M50" s="8" t="s">
        <v>47</v>
      </c>
      <c r="N50" s="8" t="s">
        <v>166</v>
      </c>
      <c r="O50" s="8" t="s">
        <v>157</v>
      </c>
      <c r="P50" s="8" t="s">
        <v>148</v>
      </c>
      <c r="Q50" s="8" t="s">
        <v>149</v>
      </c>
    </row>
    <row r="51" spans="1:17" x14ac:dyDescent="0.2">
      <c r="A51" s="8" t="s">
        <v>12</v>
      </c>
      <c r="B51" s="8" t="s">
        <v>47</v>
      </c>
      <c r="C51" s="8" t="s">
        <v>19</v>
      </c>
      <c r="D51" s="8" t="s">
        <v>14</v>
      </c>
      <c r="E51" s="8" t="s">
        <v>14</v>
      </c>
      <c r="F51" s="8" t="s">
        <v>28</v>
      </c>
      <c r="G51" s="8" t="s">
        <v>28</v>
      </c>
      <c r="H51" s="8" t="s">
        <v>15</v>
      </c>
      <c r="I51" s="8" t="s">
        <v>16</v>
      </c>
      <c r="J51" s="8" t="s">
        <v>17</v>
      </c>
      <c r="K51" s="8" t="s">
        <v>18</v>
      </c>
      <c r="L51" s="8" t="s">
        <v>28</v>
      </c>
      <c r="M51" s="8" t="s">
        <v>47</v>
      </c>
      <c r="N51" s="8" t="s">
        <v>167</v>
      </c>
      <c r="O51" s="8" t="s">
        <v>158</v>
      </c>
      <c r="P51" s="8" t="s">
        <v>148</v>
      </c>
      <c r="Q51" s="8" t="s">
        <v>149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topLeftCell="E1" zoomScale="138" zoomScaleNormal="83" workbookViewId="0">
      <selection activeCell="N11" sqref="N11"/>
    </sheetView>
  </sheetViews>
  <sheetFormatPr baseColWidth="10" defaultColWidth="9.1640625" defaultRowHeight="13" x14ac:dyDescent="0.2"/>
  <cols>
    <col min="1" max="1" width="27.1640625" style="10" customWidth="1"/>
    <col min="2" max="12" width="9.1640625" style="10"/>
    <col min="13" max="13" width="13.5" style="10" customWidth="1"/>
    <col min="14" max="16384" width="9.1640625" style="10"/>
  </cols>
  <sheetData>
    <row r="1" spans="1:14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83</v>
      </c>
      <c r="I1" s="11" t="s">
        <v>85</v>
      </c>
      <c r="J1" s="11" t="s">
        <v>110</v>
      </c>
      <c r="K1" s="11" t="s">
        <v>84</v>
      </c>
      <c r="L1" s="11" t="s">
        <v>111</v>
      </c>
      <c r="M1" s="10" t="s">
        <v>86</v>
      </c>
      <c r="N1" s="10" t="s">
        <v>92</v>
      </c>
    </row>
    <row r="2" spans="1:14" x14ac:dyDescent="0.2">
      <c r="A2" s="10" t="s">
        <v>93</v>
      </c>
      <c r="B2" s="10">
        <v>2019</v>
      </c>
      <c r="C2" s="10">
        <v>0.39</v>
      </c>
      <c r="D2" s="10">
        <v>0.3</v>
      </c>
      <c r="E2" s="10">
        <v>0.5</v>
      </c>
      <c r="F2" s="10" t="s">
        <v>20</v>
      </c>
      <c r="G2" s="10" t="s">
        <v>21</v>
      </c>
      <c r="H2" s="10">
        <v>19</v>
      </c>
      <c r="I2" s="10">
        <v>91</v>
      </c>
      <c r="J2" s="10">
        <v>574</v>
      </c>
      <c r="K2" s="10">
        <v>201</v>
      </c>
      <c r="L2" s="10">
        <v>576</v>
      </c>
      <c r="M2" s="12" t="s">
        <v>94</v>
      </c>
      <c r="N2" s="10" t="s">
        <v>188</v>
      </c>
    </row>
    <row r="3" spans="1:14" x14ac:dyDescent="0.2">
      <c r="A3" s="10" t="s">
        <v>95</v>
      </c>
      <c r="B3" s="10">
        <v>2018</v>
      </c>
      <c r="C3" s="10">
        <v>0.62</v>
      </c>
      <c r="D3" s="10">
        <v>0.51</v>
      </c>
      <c r="E3" s="10">
        <v>0.75</v>
      </c>
      <c r="F3" s="10" t="s">
        <v>20</v>
      </c>
      <c r="G3" s="10" t="s">
        <v>21</v>
      </c>
      <c r="H3" s="10">
        <v>19.8</v>
      </c>
      <c r="I3" s="10">
        <v>194</v>
      </c>
      <c r="J3" s="10">
        <v>397</v>
      </c>
      <c r="K3" s="10">
        <v>242</v>
      </c>
      <c r="L3" s="10">
        <v>393</v>
      </c>
      <c r="M3" s="10">
        <v>29384722</v>
      </c>
      <c r="N3" s="10" t="s">
        <v>188</v>
      </c>
    </row>
    <row r="4" spans="1:14" s="21" customFormat="1" x14ac:dyDescent="0.2">
      <c r="A4" s="21" t="s">
        <v>96</v>
      </c>
      <c r="B4" s="21">
        <v>2023</v>
      </c>
      <c r="C4" s="21">
        <v>0.45</v>
      </c>
      <c r="D4" s="21">
        <v>0.39</v>
      </c>
      <c r="E4" s="21">
        <v>0.53</v>
      </c>
      <c r="F4" s="21" t="s">
        <v>20</v>
      </c>
      <c r="G4" s="21" t="s">
        <v>21</v>
      </c>
      <c r="H4" s="21" t="s">
        <v>97</v>
      </c>
      <c r="I4" s="21">
        <v>268</v>
      </c>
      <c r="J4" s="21">
        <v>563</v>
      </c>
      <c r="K4" s="21">
        <v>413</v>
      </c>
      <c r="L4" s="21">
        <v>562</v>
      </c>
      <c r="M4" s="21">
        <v>36990608</v>
      </c>
      <c r="N4" s="21" t="s">
        <v>188</v>
      </c>
    </row>
    <row r="5" spans="1:14" x14ac:dyDescent="0.2">
      <c r="A5" s="10" t="s">
        <v>98</v>
      </c>
      <c r="B5" s="10">
        <v>2015</v>
      </c>
      <c r="C5" s="10">
        <v>0.69</v>
      </c>
      <c r="D5" s="10">
        <v>0.55000000000000004</v>
      </c>
      <c r="E5" s="10">
        <v>0.87</v>
      </c>
      <c r="F5" s="10" t="s">
        <v>20</v>
      </c>
      <c r="G5" s="10" t="s">
        <v>21</v>
      </c>
      <c r="H5" s="10">
        <v>15.3</v>
      </c>
      <c r="I5" s="10" t="s">
        <v>97</v>
      </c>
      <c r="J5" s="10" t="s">
        <v>97</v>
      </c>
      <c r="K5" s="10" t="s">
        <v>97</v>
      </c>
      <c r="L5" s="10" t="s">
        <v>97</v>
      </c>
      <c r="M5" s="13">
        <v>26610858</v>
      </c>
      <c r="N5" s="10" t="s">
        <v>189</v>
      </c>
    </row>
    <row r="6" spans="1:14" x14ac:dyDescent="0.2">
      <c r="A6" s="10" t="s">
        <v>99</v>
      </c>
      <c r="B6" s="10">
        <v>2019</v>
      </c>
      <c r="C6" s="10">
        <v>0.57999999999999996</v>
      </c>
      <c r="D6" s="10">
        <v>0.49</v>
      </c>
      <c r="E6" s="10">
        <v>0.68</v>
      </c>
      <c r="F6" s="10" t="s">
        <v>20</v>
      </c>
      <c r="G6" s="10" t="s">
        <v>21</v>
      </c>
      <c r="H6" s="10">
        <v>30.1</v>
      </c>
      <c r="I6" s="10">
        <v>267</v>
      </c>
      <c r="J6" s="10">
        <v>597</v>
      </c>
      <c r="K6" s="10">
        <v>336</v>
      </c>
      <c r="L6" s="10">
        <v>602</v>
      </c>
      <c r="M6" s="10">
        <v>30987939</v>
      </c>
      <c r="N6" s="10" t="s">
        <v>188</v>
      </c>
    </row>
    <row r="7" spans="1:14" x14ac:dyDescent="0.2">
      <c r="A7" s="10" t="s">
        <v>100</v>
      </c>
      <c r="B7" s="10">
        <v>2016</v>
      </c>
      <c r="C7" s="10">
        <v>0.69</v>
      </c>
      <c r="D7" s="10">
        <v>0.59</v>
      </c>
      <c r="E7" s="10">
        <v>0.81</v>
      </c>
      <c r="F7" s="10" t="s">
        <v>20</v>
      </c>
      <c r="G7" s="10" t="s">
        <v>21</v>
      </c>
      <c r="H7" s="10">
        <v>40.700000000000003</v>
      </c>
      <c r="I7" s="10">
        <v>138</v>
      </c>
      <c r="J7" s="10">
        <v>354</v>
      </c>
      <c r="K7" s="10">
        <v>543</v>
      </c>
      <c r="L7" s="10">
        <v>724</v>
      </c>
      <c r="M7" s="10">
        <v>31560068</v>
      </c>
      <c r="N7" s="10" t="s">
        <v>189</v>
      </c>
    </row>
    <row r="8" spans="1:14" s="20" customFormat="1" x14ac:dyDescent="0.2">
      <c r="A8" s="20" t="s">
        <v>101</v>
      </c>
      <c r="B8" s="20">
        <v>2019</v>
      </c>
      <c r="C8" s="20">
        <v>0.57999999999999996</v>
      </c>
      <c r="D8" s="20">
        <v>0.49</v>
      </c>
      <c r="E8" s="20">
        <v>0.69</v>
      </c>
      <c r="F8" s="20" t="s">
        <v>20</v>
      </c>
      <c r="G8" s="20" t="s">
        <v>21</v>
      </c>
      <c r="H8" s="20">
        <f>3.4*12</f>
        <v>40.799999999999997</v>
      </c>
      <c r="I8" s="20">
        <v>241</v>
      </c>
      <c r="J8" s="20">
        <v>501</v>
      </c>
      <c r="K8" s="20">
        <v>323</v>
      </c>
      <c r="L8" s="20">
        <v>502</v>
      </c>
      <c r="M8" s="20">
        <v>35411939</v>
      </c>
      <c r="N8" s="20" t="s">
        <v>189</v>
      </c>
    </row>
    <row r="9" spans="1:14" x14ac:dyDescent="0.2">
      <c r="A9" s="10" t="s">
        <v>102</v>
      </c>
      <c r="B9" s="10">
        <v>2022</v>
      </c>
      <c r="C9" s="10">
        <v>0.57999999999999996</v>
      </c>
      <c r="D9" s="10">
        <v>0.51</v>
      </c>
      <c r="E9" s="10">
        <v>0.67</v>
      </c>
      <c r="F9" s="10" t="s">
        <v>20</v>
      </c>
      <c r="G9" s="10" t="s">
        <v>21</v>
      </c>
      <c r="H9" s="10">
        <v>23</v>
      </c>
      <c r="I9" s="10">
        <v>343</v>
      </c>
      <c r="J9" s="10">
        <v>638</v>
      </c>
      <c r="K9" s="10">
        <v>444</v>
      </c>
      <c r="L9" s="10">
        <v>641</v>
      </c>
      <c r="M9" s="9">
        <v>35446628</v>
      </c>
      <c r="N9" s="10" t="s">
        <v>188</v>
      </c>
    </row>
    <row r="10" spans="1:14" x14ac:dyDescent="0.2">
      <c r="A10" s="10" t="s">
        <v>103</v>
      </c>
      <c r="B10" s="10">
        <v>2019</v>
      </c>
      <c r="C10" s="10">
        <v>0.49</v>
      </c>
      <c r="D10" s="10">
        <v>0.4</v>
      </c>
      <c r="E10" s="10">
        <v>0.61</v>
      </c>
      <c r="F10" s="10" t="s">
        <v>20</v>
      </c>
      <c r="G10" s="10" t="s">
        <v>21</v>
      </c>
      <c r="H10" s="10">
        <v>22.1</v>
      </c>
      <c r="I10" s="10">
        <v>134</v>
      </c>
      <c r="J10" s="10">
        <v>525</v>
      </c>
      <c r="K10" s="10">
        <v>231</v>
      </c>
      <c r="L10" s="10">
        <v>527</v>
      </c>
      <c r="M10" s="15">
        <v>31150574</v>
      </c>
      <c r="N10" s="10" t="s">
        <v>188</v>
      </c>
    </row>
  </sheetData>
  <conditionalFormatting sqref="M4">
    <cfRule type="duplicateValues" dxfId="123" priority="1"/>
  </conditionalFormatting>
  <conditionalFormatting sqref="M9">
    <cfRule type="duplicateValues" dxfId="122" priority="2"/>
    <cfRule type="duplicateValues" dxfId="121" priority="3"/>
  </conditionalFormatting>
  <conditionalFormatting sqref="M10">
    <cfRule type="duplicateValues" dxfId="120" priority="5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AB55B-532A-4EA2-AE28-38385A146DF6}">
  <dimension ref="A1:S17"/>
  <sheetViews>
    <sheetView topLeftCell="B1" workbookViewId="0">
      <selection activeCell="L26" sqref="L26"/>
    </sheetView>
  </sheetViews>
  <sheetFormatPr baseColWidth="10" defaultColWidth="9.1640625" defaultRowHeight="13" x14ac:dyDescent="0.2"/>
  <cols>
    <col min="1" max="1" width="27.1640625" style="10" customWidth="1"/>
    <col min="2" max="12" width="9.1640625" style="10"/>
    <col min="13" max="13" width="13.5" style="10" customWidth="1"/>
    <col min="14" max="16384" width="9.1640625" style="10"/>
  </cols>
  <sheetData>
    <row r="1" spans="1:19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83</v>
      </c>
      <c r="I1" s="11" t="s">
        <v>85</v>
      </c>
      <c r="J1" s="11" t="s">
        <v>110</v>
      </c>
      <c r="K1" s="11" t="s">
        <v>84</v>
      </c>
      <c r="L1" s="11" t="s">
        <v>111</v>
      </c>
      <c r="M1" s="10" t="s">
        <v>86</v>
      </c>
      <c r="N1" s="10" t="s">
        <v>87</v>
      </c>
      <c r="O1" s="10" t="s">
        <v>88</v>
      </c>
      <c r="P1" s="10" t="s">
        <v>89</v>
      </c>
      <c r="Q1" s="10" t="s">
        <v>90</v>
      </c>
      <c r="R1" s="10" t="s">
        <v>91</v>
      </c>
      <c r="S1" s="10" t="s">
        <v>92</v>
      </c>
    </row>
    <row r="2" spans="1:19" x14ac:dyDescent="0.2">
      <c r="A2" s="10" t="s">
        <v>93</v>
      </c>
      <c r="B2" s="10">
        <v>2019</v>
      </c>
      <c r="C2" s="10">
        <v>0.37</v>
      </c>
      <c r="D2" s="10">
        <v>0.28000000000000003</v>
      </c>
      <c r="E2" s="10">
        <v>0.49</v>
      </c>
      <c r="F2" s="10" t="s">
        <v>20</v>
      </c>
      <c r="G2" s="10" t="s">
        <v>21</v>
      </c>
      <c r="H2" s="10">
        <v>19</v>
      </c>
      <c r="I2" s="10">
        <v>70</v>
      </c>
      <c r="J2" s="10">
        <v>471</v>
      </c>
      <c r="K2" s="10">
        <v>166</v>
      </c>
      <c r="L2" s="10">
        <v>474</v>
      </c>
      <c r="M2" s="12" t="s">
        <v>94</v>
      </c>
    </row>
    <row r="3" spans="1:19" x14ac:dyDescent="0.2">
      <c r="A3" s="10" t="s">
        <v>95</v>
      </c>
      <c r="B3" s="10">
        <v>2018</v>
      </c>
      <c r="C3" s="10">
        <v>0.62</v>
      </c>
      <c r="D3" s="10">
        <v>0.51</v>
      </c>
      <c r="E3" s="10">
        <v>0.75</v>
      </c>
      <c r="F3" s="10" t="s">
        <v>20</v>
      </c>
      <c r="G3" s="10" t="s">
        <v>21</v>
      </c>
      <c r="H3" s="10">
        <v>19.8</v>
      </c>
      <c r="I3" s="10">
        <v>194</v>
      </c>
      <c r="J3" s="10">
        <v>397</v>
      </c>
      <c r="K3" s="10">
        <v>242</v>
      </c>
      <c r="L3" s="10">
        <v>393</v>
      </c>
      <c r="M3" s="10">
        <v>29384722</v>
      </c>
    </row>
    <row r="4" spans="1:19" s="21" customFormat="1" x14ac:dyDescent="0.2">
      <c r="A4" s="21" t="s">
        <v>96</v>
      </c>
      <c r="B4" s="21">
        <v>2023</v>
      </c>
      <c r="C4" s="21">
        <v>0.4</v>
      </c>
      <c r="D4" s="21">
        <v>0.32</v>
      </c>
      <c r="E4" s="21">
        <v>0.5</v>
      </c>
      <c r="F4" s="21" t="s">
        <v>20</v>
      </c>
      <c r="G4" s="21" t="s">
        <v>21</v>
      </c>
      <c r="H4" s="21" t="s">
        <v>97</v>
      </c>
      <c r="I4" s="21">
        <v>128</v>
      </c>
      <c r="J4" s="21">
        <v>310</v>
      </c>
      <c r="K4" s="21">
        <v>222</v>
      </c>
      <c r="L4" s="21">
        <v>312</v>
      </c>
      <c r="M4" s="21">
        <v>36990608</v>
      </c>
    </row>
    <row r="5" spans="1:19" x14ac:dyDescent="0.2">
      <c r="A5" s="10" t="s">
        <v>98</v>
      </c>
      <c r="B5" s="10">
        <v>2015</v>
      </c>
      <c r="C5" s="10">
        <v>0.69</v>
      </c>
      <c r="D5" s="10">
        <v>0.55000000000000004</v>
      </c>
      <c r="E5" s="10">
        <v>0.87</v>
      </c>
      <c r="F5" s="10" t="s">
        <v>20</v>
      </c>
      <c r="G5" s="10" t="s">
        <v>21</v>
      </c>
      <c r="H5" s="10">
        <v>15.3</v>
      </c>
      <c r="I5" s="10" t="s">
        <v>97</v>
      </c>
      <c r="J5" s="10" t="s">
        <v>97</v>
      </c>
      <c r="K5" s="10" t="s">
        <v>97</v>
      </c>
      <c r="L5" s="10" t="s">
        <v>97</v>
      </c>
      <c r="M5" s="13">
        <v>26610858</v>
      </c>
      <c r="N5" s="14"/>
    </row>
    <row r="6" spans="1:19" x14ac:dyDescent="0.2">
      <c r="A6" s="10" t="s">
        <v>99</v>
      </c>
      <c r="B6" s="10">
        <v>2019</v>
      </c>
      <c r="C6" s="10">
        <v>0.57999999999999996</v>
      </c>
      <c r="D6" s="10">
        <v>0.49</v>
      </c>
      <c r="E6" s="10">
        <v>0.68</v>
      </c>
      <c r="F6" s="10" t="s">
        <v>20</v>
      </c>
      <c r="G6" s="10" t="s">
        <v>21</v>
      </c>
      <c r="H6" s="10">
        <v>30.1</v>
      </c>
      <c r="I6" s="10">
        <v>267</v>
      </c>
      <c r="J6" s="10">
        <v>597</v>
      </c>
      <c r="K6" s="10">
        <v>336</v>
      </c>
      <c r="L6" s="10">
        <v>602</v>
      </c>
      <c r="M6" s="10">
        <v>30987939</v>
      </c>
    </row>
    <row r="7" spans="1:19" x14ac:dyDescent="0.2">
      <c r="A7" s="10" t="s">
        <v>100</v>
      </c>
      <c r="B7" s="10">
        <v>2016</v>
      </c>
      <c r="C7" s="10">
        <v>0.69</v>
      </c>
      <c r="D7" s="10">
        <v>0.59</v>
      </c>
      <c r="E7" s="10">
        <v>0.81</v>
      </c>
      <c r="F7" s="10" t="s">
        <v>20</v>
      </c>
      <c r="G7" s="10" t="s">
        <v>21</v>
      </c>
      <c r="H7" s="10">
        <v>40.700000000000003</v>
      </c>
      <c r="I7" s="10">
        <v>228</v>
      </c>
      <c r="J7" s="10">
        <v>362</v>
      </c>
      <c r="K7" s="10">
        <v>543</v>
      </c>
      <c r="L7" s="10">
        <v>724</v>
      </c>
      <c r="M7" s="10">
        <v>31560068</v>
      </c>
    </row>
    <row r="8" spans="1:19" x14ac:dyDescent="0.2">
      <c r="A8" s="10" t="s">
        <v>101</v>
      </c>
      <c r="B8" s="10">
        <v>2019</v>
      </c>
      <c r="C8" s="10">
        <v>0.57999999999999996</v>
      </c>
      <c r="D8" s="10">
        <v>0.49</v>
      </c>
      <c r="E8" s="10">
        <v>0.69</v>
      </c>
      <c r="F8" s="10" t="s">
        <v>20</v>
      </c>
      <c r="G8" s="10" t="s">
        <v>21</v>
      </c>
      <c r="H8" s="10">
        <f>3.4*12</f>
        <v>40.799999999999997</v>
      </c>
      <c r="I8" s="10">
        <v>241</v>
      </c>
      <c r="J8" s="10">
        <v>501</v>
      </c>
      <c r="K8" s="10">
        <v>323</v>
      </c>
      <c r="L8" s="10">
        <v>502</v>
      </c>
      <c r="M8" s="10">
        <v>31447077</v>
      </c>
    </row>
    <row r="9" spans="1:19" x14ac:dyDescent="0.2">
      <c r="A9" s="10" t="s">
        <v>102</v>
      </c>
      <c r="B9" s="10">
        <v>2022</v>
      </c>
      <c r="C9" s="10">
        <v>0.57999999999999996</v>
      </c>
      <c r="D9" s="10">
        <v>0.51</v>
      </c>
      <c r="E9" s="10">
        <v>0.67</v>
      </c>
      <c r="F9" s="10" t="s">
        <v>20</v>
      </c>
      <c r="G9" s="10" t="s">
        <v>21</v>
      </c>
      <c r="H9" s="10">
        <v>23</v>
      </c>
      <c r="I9" s="10">
        <v>343</v>
      </c>
      <c r="J9" s="10">
        <v>638</v>
      </c>
      <c r="K9" s="10">
        <v>444</v>
      </c>
      <c r="L9" s="10">
        <v>641</v>
      </c>
      <c r="M9" s="9">
        <v>35446628</v>
      </c>
    </row>
    <row r="10" spans="1:19" x14ac:dyDescent="0.2">
      <c r="A10" s="10" t="s">
        <v>103</v>
      </c>
      <c r="B10" s="10">
        <v>2019</v>
      </c>
      <c r="C10" s="10">
        <v>0.49</v>
      </c>
      <c r="D10" s="10">
        <v>0.39</v>
      </c>
      <c r="E10" s="10">
        <v>0.62</v>
      </c>
      <c r="F10" s="10" t="s">
        <v>20</v>
      </c>
      <c r="G10" s="10" t="s">
        <v>21</v>
      </c>
      <c r="H10" s="10">
        <v>22.1</v>
      </c>
      <c r="I10" s="10">
        <v>124</v>
      </c>
      <c r="J10" s="10">
        <v>467</v>
      </c>
      <c r="K10" s="10">
        <v>212</v>
      </c>
      <c r="L10" s="10">
        <v>472</v>
      </c>
      <c r="M10" s="15">
        <v>31150574</v>
      </c>
    </row>
    <row r="12" spans="1:19" x14ac:dyDescent="0.2">
      <c r="O12" s="12"/>
    </row>
    <row r="14" spans="1:19" x14ac:dyDescent="0.2">
      <c r="O14" s="15"/>
    </row>
    <row r="17" spans="15:15" x14ac:dyDescent="0.2">
      <c r="O17" s="13"/>
    </row>
  </sheetData>
  <conditionalFormatting sqref="M4">
    <cfRule type="duplicateValues" dxfId="119" priority="1"/>
  </conditionalFormatting>
  <conditionalFormatting sqref="M9">
    <cfRule type="duplicateValues" dxfId="118" priority="2"/>
    <cfRule type="duplicateValues" dxfId="117" priority="3"/>
  </conditionalFormatting>
  <conditionalFormatting sqref="M10">
    <cfRule type="duplicateValues" dxfId="116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topLeftCell="K1" zoomScale="125" zoomScaleNormal="83" workbookViewId="0">
      <selection activeCell="N11" sqref="N11"/>
    </sheetView>
  </sheetViews>
  <sheetFormatPr baseColWidth="10" defaultColWidth="9.1640625" defaultRowHeight="13" x14ac:dyDescent="0.2"/>
  <cols>
    <col min="1" max="1" width="19.5" style="10" customWidth="1"/>
    <col min="2" max="5" width="9.33203125" style="10" customWidth="1"/>
    <col min="6" max="7" width="9.1640625" style="10"/>
    <col min="8" max="12" width="9.33203125" style="10" customWidth="1"/>
    <col min="13" max="13" width="17" style="10" customWidth="1"/>
    <col min="14" max="16384" width="9.1640625" style="10"/>
  </cols>
  <sheetData>
    <row r="1" spans="1:15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83</v>
      </c>
      <c r="I1" s="11" t="s">
        <v>85</v>
      </c>
      <c r="J1" s="11" t="s">
        <v>110</v>
      </c>
      <c r="K1" s="11" t="s">
        <v>84</v>
      </c>
      <c r="L1" s="11" t="s">
        <v>111</v>
      </c>
      <c r="M1" s="10" t="s">
        <v>86</v>
      </c>
      <c r="N1" s="10" t="s">
        <v>92</v>
      </c>
    </row>
    <row r="2" spans="1:15" x14ac:dyDescent="0.2">
      <c r="A2" s="10" t="s">
        <v>93</v>
      </c>
      <c r="B2" s="10">
        <v>2022</v>
      </c>
      <c r="C2" s="10">
        <v>0.66</v>
      </c>
      <c r="D2" s="10">
        <v>0.53</v>
      </c>
      <c r="E2" s="10">
        <v>0.81</v>
      </c>
      <c r="F2" s="10" t="s">
        <v>20</v>
      </c>
      <c r="G2" s="10" t="s">
        <v>21</v>
      </c>
      <c r="H2" s="10" t="s">
        <v>97</v>
      </c>
      <c r="I2" s="10">
        <v>154</v>
      </c>
      <c r="J2" s="10">
        <v>574</v>
      </c>
      <c r="K2" s="10">
        <v>202</v>
      </c>
      <c r="L2" s="10">
        <v>576</v>
      </c>
      <c r="M2" s="19">
        <v>35420921</v>
      </c>
      <c r="N2" s="10" t="s">
        <v>188</v>
      </c>
    </row>
    <row r="3" spans="1:15" x14ac:dyDescent="0.2">
      <c r="A3" s="10" t="s">
        <v>95</v>
      </c>
      <c r="B3" s="10">
        <v>2018</v>
      </c>
      <c r="C3" s="11">
        <v>0.72</v>
      </c>
      <c r="D3" s="11">
        <v>0.59</v>
      </c>
      <c r="E3" s="11">
        <v>0.89</v>
      </c>
      <c r="F3" s="10" t="s">
        <v>20</v>
      </c>
      <c r="G3" s="10" t="s">
        <v>21</v>
      </c>
      <c r="H3" s="10">
        <v>47.2</v>
      </c>
      <c r="I3" s="10">
        <v>188</v>
      </c>
      <c r="J3" s="10">
        <v>397</v>
      </c>
      <c r="K3" s="10">
        <v>211</v>
      </c>
      <c r="L3" s="10">
        <v>393</v>
      </c>
      <c r="M3" s="10">
        <v>29384722</v>
      </c>
      <c r="N3" s="10" t="s">
        <v>188</v>
      </c>
    </row>
    <row r="4" spans="1:15" s="21" customFormat="1" x14ac:dyDescent="0.2">
      <c r="A4" s="21" t="s">
        <v>96</v>
      </c>
      <c r="B4" s="21">
        <v>2023</v>
      </c>
      <c r="C4" s="22">
        <v>0.7</v>
      </c>
      <c r="D4" s="22">
        <v>0.57999999999999996</v>
      </c>
      <c r="E4" s="22">
        <v>0.84</v>
      </c>
      <c r="F4" s="21" t="s">
        <v>20</v>
      </c>
      <c r="G4" s="21" t="s">
        <v>21</v>
      </c>
      <c r="H4" s="22" t="s">
        <v>97</v>
      </c>
      <c r="I4" s="21">
        <v>208</v>
      </c>
      <c r="J4" s="21">
        <v>563</v>
      </c>
      <c r="K4" s="21">
        <v>268</v>
      </c>
      <c r="L4" s="21">
        <v>562</v>
      </c>
      <c r="M4" s="21">
        <v>36990608</v>
      </c>
      <c r="N4" s="21" t="s">
        <v>188</v>
      </c>
    </row>
    <row r="5" spans="1:15" x14ac:dyDescent="0.2">
      <c r="A5" s="10" t="s">
        <v>98</v>
      </c>
      <c r="B5" s="10">
        <v>2015</v>
      </c>
      <c r="C5" s="10">
        <v>0.88</v>
      </c>
      <c r="D5" s="10">
        <v>0.68</v>
      </c>
      <c r="E5" s="10">
        <v>1.1399999999999999</v>
      </c>
      <c r="F5" s="10" t="s">
        <v>20</v>
      </c>
      <c r="G5" s="10" t="s">
        <v>21</v>
      </c>
      <c r="H5" s="10">
        <v>48.6</v>
      </c>
      <c r="I5" s="10">
        <v>115</v>
      </c>
      <c r="J5" s="10">
        <v>192</v>
      </c>
      <c r="K5" s="10">
        <v>127</v>
      </c>
      <c r="L5" s="10">
        <v>193</v>
      </c>
      <c r="M5" s="13">
        <v>26610858</v>
      </c>
      <c r="N5" s="10" t="s">
        <v>188</v>
      </c>
    </row>
    <row r="6" spans="1:15" x14ac:dyDescent="0.2">
      <c r="A6" s="16" t="s">
        <v>99</v>
      </c>
      <c r="B6" s="14">
        <v>2019</v>
      </c>
      <c r="C6" s="16">
        <v>0.66</v>
      </c>
      <c r="D6" s="16">
        <v>0.56999999999999995</v>
      </c>
      <c r="E6" s="16">
        <v>0.78</v>
      </c>
      <c r="F6" s="10" t="s">
        <v>20</v>
      </c>
      <c r="G6" s="10" t="s">
        <v>21</v>
      </c>
      <c r="H6" s="10">
        <v>36.5</v>
      </c>
      <c r="I6" s="10">
        <v>275</v>
      </c>
      <c r="J6" s="10">
        <v>597</v>
      </c>
      <c r="K6" s="10">
        <v>343</v>
      </c>
      <c r="L6" s="10">
        <v>602</v>
      </c>
      <c r="M6" s="10">
        <v>30987939</v>
      </c>
      <c r="N6" s="10" t="s">
        <v>188</v>
      </c>
    </row>
    <row r="7" spans="1:15" x14ac:dyDescent="0.2">
      <c r="A7" s="10" t="s">
        <v>100</v>
      </c>
      <c r="B7" s="10">
        <v>2016</v>
      </c>
      <c r="C7" s="11">
        <v>0.81</v>
      </c>
      <c r="D7" s="11">
        <v>0.69</v>
      </c>
      <c r="E7" s="11">
        <v>0.95</v>
      </c>
      <c r="F7" s="10" t="s">
        <v>20</v>
      </c>
      <c r="G7" s="10" t="s">
        <v>21</v>
      </c>
      <c r="H7" s="10">
        <v>57.1</v>
      </c>
      <c r="I7" s="10">
        <v>185</v>
      </c>
      <c r="J7" s="10">
        <v>362</v>
      </c>
      <c r="K7" s="10">
        <v>456</v>
      </c>
      <c r="L7" s="10">
        <v>724</v>
      </c>
      <c r="M7" s="10">
        <v>31560068</v>
      </c>
      <c r="N7" s="10" t="s">
        <v>188</v>
      </c>
    </row>
    <row r="8" spans="1:15" s="21" customFormat="1" x14ac:dyDescent="0.2">
      <c r="A8" s="21" t="s">
        <v>101</v>
      </c>
      <c r="B8" s="24">
        <v>2023</v>
      </c>
      <c r="C8" s="22">
        <v>0.62</v>
      </c>
      <c r="D8" s="22">
        <v>0.53</v>
      </c>
      <c r="E8" s="21">
        <v>0.73</v>
      </c>
      <c r="F8" s="21" t="s">
        <v>20</v>
      </c>
      <c r="G8" s="21" t="s">
        <v>21</v>
      </c>
      <c r="H8" s="21">
        <v>45.7</v>
      </c>
      <c r="I8" s="21">
        <v>293</v>
      </c>
      <c r="J8" s="21">
        <v>501</v>
      </c>
      <c r="K8" s="21">
        <v>371</v>
      </c>
      <c r="L8" s="21">
        <v>502</v>
      </c>
      <c r="M8" s="23">
        <v>37142371</v>
      </c>
      <c r="N8" s="21" t="s">
        <v>188</v>
      </c>
      <c r="O8" s="21">
        <v>35411939</v>
      </c>
    </row>
    <row r="9" spans="1:15" x14ac:dyDescent="0.2">
      <c r="A9" s="10" t="s">
        <v>102</v>
      </c>
      <c r="B9" s="14">
        <v>2022</v>
      </c>
      <c r="C9" s="11">
        <v>0.86</v>
      </c>
      <c r="D9" s="11">
        <v>0.72</v>
      </c>
      <c r="E9" s="11">
        <v>1.02</v>
      </c>
      <c r="F9" s="10" t="s">
        <v>20</v>
      </c>
      <c r="G9" s="10" t="s">
        <v>21</v>
      </c>
      <c r="H9" s="10">
        <v>70.2</v>
      </c>
      <c r="I9" s="10">
        <v>251</v>
      </c>
      <c r="J9" s="10">
        <v>638</v>
      </c>
      <c r="K9" s="10">
        <v>274</v>
      </c>
      <c r="L9" s="10">
        <v>641</v>
      </c>
      <c r="M9" s="9">
        <v>35446628</v>
      </c>
      <c r="N9" s="10" t="s">
        <v>188</v>
      </c>
    </row>
    <row r="10" spans="1:15" x14ac:dyDescent="0.2">
      <c r="A10" s="10" t="s">
        <v>103</v>
      </c>
      <c r="B10" s="10">
        <v>2021</v>
      </c>
      <c r="C10" s="10">
        <v>0.65</v>
      </c>
      <c r="D10" s="10">
        <v>0.53</v>
      </c>
      <c r="E10" s="10">
        <v>0.79</v>
      </c>
      <c r="F10" s="10" t="s">
        <v>20</v>
      </c>
      <c r="G10" s="10" t="s">
        <v>21</v>
      </c>
      <c r="H10" s="10" t="s">
        <v>97</v>
      </c>
      <c r="I10" s="10">
        <v>170</v>
      </c>
      <c r="J10" s="10">
        <v>525</v>
      </c>
      <c r="K10" s="10">
        <v>235</v>
      </c>
      <c r="L10" s="10">
        <v>527</v>
      </c>
      <c r="M10" s="15" t="s">
        <v>147</v>
      </c>
      <c r="N10" s="10" t="s">
        <v>188</v>
      </c>
    </row>
    <row r="13" spans="1:15" x14ac:dyDescent="0.2">
      <c r="A13" s="16"/>
      <c r="B13" s="16"/>
    </row>
    <row r="17" spans="7:7" x14ac:dyDescent="0.2">
      <c r="G17" s="11"/>
    </row>
  </sheetData>
  <conditionalFormatting sqref="M4">
    <cfRule type="duplicateValues" dxfId="115" priority="1"/>
  </conditionalFormatting>
  <conditionalFormatting sqref="M6 M3">
    <cfRule type="duplicateValues" dxfId="114" priority="7"/>
  </conditionalFormatting>
  <conditionalFormatting sqref="M7">
    <cfRule type="duplicateValues" dxfId="113" priority="8"/>
  </conditionalFormatting>
  <conditionalFormatting sqref="M9">
    <cfRule type="duplicateValues" dxfId="112" priority="3"/>
    <cfRule type="duplicateValues" dxfId="111" priority="4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6383-43BE-4B72-9CE2-A5D5E6859BBB}">
  <dimension ref="A1:S10"/>
  <sheetViews>
    <sheetView workbookViewId="0">
      <selection activeCell="I10" sqref="I10"/>
    </sheetView>
  </sheetViews>
  <sheetFormatPr baseColWidth="10" defaultColWidth="9.1640625" defaultRowHeight="13" x14ac:dyDescent="0.2"/>
  <cols>
    <col min="1" max="1" width="9.1640625" style="10"/>
    <col min="2" max="5" width="9.33203125" style="10" bestFit="1" customWidth="1"/>
    <col min="6" max="7" width="9.1640625" style="10"/>
    <col min="8" max="8" width="9.33203125" style="10" bestFit="1" customWidth="1"/>
    <col min="9" max="10" width="9.33203125" style="10" customWidth="1"/>
    <col min="11" max="12" width="9.33203125" style="10" bestFit="1" customWidth="1"/>
    <col min="13" max="13" width="11.5" style="10" bestFit="1" customWidth="1"/>
    <col min="14" max="16384" width="9.1640625" style="10"/>
  </cols>
  <sheetData>
    <row r="1" spans="1:19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83</v>
      </c>
      <c r="I1" s="11" t="s">
        <v>85</v>
      </c>
      <c r="J1" s="11" t="s">
        <v>110</v>
      </c>
      <c r="K1" s="11" t="s">
        <v>84</v>
      </c>
      <c r="L1" s="11" t="s">
        <v>111</v>
      </c>
      <c r="M1" s="10" t="s">
        <v>86</v>
      </c>
      <c r="N1" s="10" t="s">
        <v>87</v>
      </c>
      <c r="O1" s="10" t="s">
        <v>88</v>
      </c>
      <c r="P1" s="10" t="s">
        <v>89</v>
      </c>
      <c r="Q1" s="10" t="s">
        <v>90</v>
      </c>
      <c r="R1" s="10" t="s">
        <v>91</v>
      </c>
      <c r="S1" s="10" t="s">
        <v>92</v>
      </c>
    </row>
    <row r="2" spans="1:19" x14ac:dyDescent="0.2">
      <c r="A2" s="10" t="s">
        <v>93</v>
      </c>
      <c r="B2" s="10">
        <v>2022</v>
      </c>
      <c r="C2" s="10">
        <v>0.64</v>
      </c>
      <c r="D2" s="10">
        <v>0.51</v>
      </c>
      <c r="E2" s="10">
        <v>0.81</v>
      </c>
      <c r="F2" s="10" t="s">
        <v>20</v>
      </c>
      <c r="G2" s="10" t="s">
        <v>21</v>
      </c>
      <c r="H2" s="10" t="s">
        <v>97</v>
      </c>
      <c r="I2" s="10">
        <v>124</v>
      </c>
      <c r="J2" s="10">
        <v>471</v>
      </c>
      <c r="K2" s="10">
        <v>165</v>
      </c>
      <c r="L2" s="10">
        <v>474</v>
      </c>
      <c r="M2" s="19">
        <v>35420921</v>
      </c>
    </row>
    <row r="3" spans="1:19" x14ac:dyDescent="0.2">
      <c r="A3" s="10" t="s">
        <v>95</v>
      </c>
      <c r="B3" s="10">
        <v>2018</v>
      </c>
      <c r="C3" s="11">
        <v>0.72</v>
      </c>
      <c r="D3" s="11">
        <v>0.59</v>
      </c>
      <c r="E3" s="11">
        <v>0.89</v>
      </c>
      <c r="F3" s="10" t="s">
        <v>20</v>
      </c>
      <c r="G3" s="10" t="s">
        <v>21</v>
      </c>
      <c r="H3" s="10">
        <v>47.2</v>
      </c>
      <c r="I3" s="10">
        <v>188</v>
      </c>
      <c r="J3" s="10">
        <v>397</v>
      </c>
      <c r="K3" s="10">
        <v>211</v>
      </c>
      <c r="L3" s="10">
        <v>393</v>
      </c>
      <c r="M3" s="10">
        <v>29384722</v>
      </c>
    </row>
    <row r="4" spans="1:19" s="21" customFormat="1" x14ac:dyDescent="0.2">
      <c r="A4" s="21" t="s">
        <v>96</v>
      </c>
      <c r="B4" s="21">
        <v>2023</v>
      </c>
      <c r="C4" s="22">
        <v>0.6</v>
      </c>
      <c r="D4" s="22">
        <v>0.47</v>
      </c>
      <c r="E4" s="22">
        <v>0.78</v>
      </c>
      <c r="F4" s="21" t="s">
        <v>20</v>
      </c>
      <c r="G4" s="21" t="s">
        <v>21</v>
      </c>
      <c r="H4" s="22" t="s">
        <v>97</v>
      </c>
      <c r="I4" s="21">
        <v>100</v>
      </c>
      <c r="J4" s="21">
        <v>310</v>
      </c>
      <c r="K4" s="21">
        <v>145</v>
      </c>
      <c r="L4" s="21">
        <v>312</v>
      </c>
      <c r="M4" s="21">
        <v>36990608</v>
      </c>
    </row>
    <row r="5" spans="1:19" x14ac:dyDescent="0.2">
      <c r="A5" s="10" t="s">
        <v>98</v>
      </c>
      <c r="B5" s="10">
        <v>2015</v>
      </c>
      <c r="C5" s="10">
        <v>0.88</v>
      </c>
      <c r="D5" s="10">
        <v>0.68</v>
      </c>
      <c r="E5" s="10">
        <v>1.1399999999999999</v>
      </c>
      <c r="F5" s="10" t="s">
        <v>20</v>
      </c>
      <c r="G5" s="10" t="s">
        <v>21</v>
      </c>
      <c r="H5" s="10">
        <v>48.6</v>
      </c>
      <c r="I5" s="10">
        <v>115</v>
      </c>
      <c r="J5" s="10">
        <v>192</v>
      </c>
      <c r="K5" s="10">
        <v>127</v>
      </c>
      <c r="L5" s="10">
        <v>193</v>
      </c>
      <c r="M5" s="13">
        <v>26610858</v>
      </c>
      <c r="N5" s="14"/>
    </row>
    <row r="6" spans="1:19" x14ac:dyDescent="0.2">
      <c r="A6" s="16" t="s">
        <v>99</v>
      </c>
      <c r="B6" s="14">
        <v>2019</v>
      </c>
      <c r="C6" s="16">
        <v>0.66</v>
      </c>
      <c r="D6" s="16">
        <v>0.56999999999999995</v>
      </c>
      <c r="E6" s="16">
        <v>0.78</v>
      </c>
      <c r="F6" s="10" t="s">
        <v>20</v>
      </c>
      <c r="G6" s="10" t="s">
        <v>21</v>
      </c>
      <c r="H6" s="10">
        <v>36.5</v>
      </c>
      <c r="I6" s="10">
        <v>275</v>
      </c>
      <c r="J6" s="10">
        <v>597</v>
      </c>
      <c r="K6" s="10">
        <v>343</v>
      </c>
      <c r="L6" s="10">
        <v>602</v>
      </c>
      <c r="M6" s="10">
        <v>30987939</v>
      </c>
    </row>
    <row r="7" spans="1:19" x14ac:dyDescent="0.2">
      <c r="A7" s="10" t="s">
        <v>100</v>
      </c>
      <c r="B7" s="10">
        <v>2016</v>
      </c>
      <c r="C7" s="11">
        <v>0.81</v>
      </c>
      <c r="D7" s="11">
        <v>0.69</v>
      </c>
      <c r="E7" s="11">
        <v>0.95</v>
      </c>
      <c r="F7" s="10" t="s">
        <v>20</v>
      </c>
      <c r="G7" s="10" t="s">
        <v>21</v>
      </c>
      <c r="H7" s="10">
        <v>57.1</v>
      </c>
      <c r="I7" s="10">
        <v>185</v>
      </c>
      <c r="J7" s="10">
        <v>362</v>
      </c>
      <c r="K7" s="10">
        <v>456</v>
      </c>
      <c r="L7" s="10">
        <v>724</v>
      </c>
      <c r="M7" s="10">
        <v>31560068</v>
      </c>
    </row>
    <row r="8" spans="1:19" x14ac:dyDescent="0.2">
      <c r="A8" s="10" t="s">
        <v>101</v>
      </c>
      <c r="B8" s="14">
        <v>2019</v>
      </c>
      <c r="C8" s="11">
        <v>0.6</v>
      </c>
      <c r="D8" s="11">
        <v>0.5</v>
      </c>
      <c r="E8" s="10">
        <v>0.71</v>
      </c>
      <c r="F8" s="10" t="s">
        <v>20</v>
      </c>
      <c r="G8" s="10" t="s">
        <v>21</v>
      </c>
      <c r="H8" s="10">
        <f>3.8*12</f>
        <v>45.599999999999994</v>
      </c>
      <c r="I8" s="10">
        <v>244</v>
      </c>
      <c r="J8" s="10">
        <v>501</v>
      </c>
      <c r="K8" s="10">
        <v>329</v>
      </c>
      <c r="L8" s="10">
        <v>502</v>
      </c>
      <c r="M8" s="10" t="s">
        <v>104</v>
      </c>
    </row>
    <row r="9" spans="1:19" x14ac:dyDescent="0.2">
      <c r="A9" s="10" t="s">
        <v>102</v>
      </c>
      <c r="B9" s="14">
        <v>2022</v>
      </c>
      <c r="C9" s="11">
        <v>0.86</v>
      </c>
      <c r="D9" s="11">
        <v>0.72</v>
      </c>
      <c r="E9" s="11">
        <v>1.02</v>
      </c>
      <c r="F9" s="10" t="s">
        <v>20</v>
      </c>
      <c r="G9" s="10" t="s">
        <v>21</v>
      </c>
      <c r="H9" s="10">
        <v>70.2</v>
      </c>
      <c r="I9" s="10">
        <v>251</v>
      </c>
      <c r="J9" s="10">
        <v>638</v>
      </c>
      <c r="K9" s="10">
        <v>274</v>
      </c>
      <c r="L9" s="10">
        <v>641</v>
      </c>
      <c r="M9" s="9">
        <v>35446628</v>
      </c>
    </row>
    <row r="10" spans="1:19" x14ac:dyDescent="0.2">
      <c r="A10" s="10" t="s">
        <v>103</v>
      </c>
      <c r="B10" s="10">
        <v>2021</v>
      </c>
      <c r="C10" s="10">
        <v>0.61</v>
      </c>
      <c r="D10" s="10">
        <v>0.5</v>
      </c>
      <c r="E10" s="10">
        <v>0.76</v>
      </c>
      <c r="F10" s="10" t="s">
        <v>20</v>
      </c>
      <c r="G10" s="10" t="s">
        <v>21</v>
      </c>
      <c r="H10" s="10" t="s">
        <v>97</v>
      </c>
      <c r="I10" s="10">
        <v>149</v>
      </c>
      <c r="J10" s="10">
        <v>467</v>
      </c>
      <c r="K10" s="10">
        <v>218</v>
      </c>
      <c r="L10" s="10">
        <v>472</v>
      </c>
      <c r="M10" s="15" t="s">
        <v>147</v>
      </c>
    </row>
  </sheetData>
  <conditionalFormatting sqref="M4">
    <cfRule type="duplicateValues" dxfId="110" priority="1"/>
  </conditionalFormatting>
  <conditionalFormatting sqref="M6 M3">
    <cfRule type="duplicateValues" dxfId="109" priority="5"/>
  </conditionalFormatting>
  <conditionalFormatting sqref="M7">
    <cfRule type="duplicateValues" dxfId="108" priority="6"/>
  </conditionalFormatting>
  <conditionalFormatting sqref="M9">
    <cfRule type="duplicateValues" dxfId="107" priority="3"/>
    <cfRule type="duplicateValues" dxfId="106" priority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2D6D-848F-4763-A4A5-9A98DE4A220F}">
  <dimension ref="A1:T17"/>
  <sheetViews>
    <sheetView topLeftCell="C1" zoomScale="113" zoomScaleNormal="83" workbookViewId="0">
      <selection activeCell="O2" sqref="O2:T10"/>
    </sheetView>
  </sheetViews>
  <sheetFormatPr baseColWidth="10" defaultColWidth="9.1640625" defaultRowHeight="13" x14ac:dyDescent="0.2"/>
  <cols>
    <col min="1" max="1" width="27.1640625" style="10" customWidth="1"/>
    <col min="2" max="7" width="9.1640625" style="10"/>
    <col min="8" max="8" width="16.33203125" style="10" bestFit="1" customWidth="1"/>
    <col min="9" max="13" width="9.1640625" style="10"/>
    <col min="14" max="14" width="13.5" style="10" customWidth="1"/>
    <col min="15" max="16384" width="9.1640625" style="10"/>
  </cols>
  <sheetData>
    <row r="1" spans="1:20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0" t="s">
        <v>47</v>
      </c>
      <c r="I1" s="11" t="s">
        <v>83</v>
      </c>
      <c r="J1" s="11" t="s">
        <v>85</v>
      </c>
      <c r="K1" s="11" t="s">
        <v>110</v>
      </c>
      <c r="L1" s="11" t="s">
        <v>84</v>
      </c>
      <c r="M1" s="11" t="s">
        <v>111</v>
      </c>
      <c r="N1" s="10" t="s">
        <v>86</v>
      </c>
      <c r="O1" s="10" t="s">
        <v>87</v>
      </c>
      <c r="P1" s="10" t="s">
        <v>88</v>
      </c>
      <c r="Q1" s="10" t="s">
        <v>89</v>
      </c>
      <c r="R1" s="10" t="s">
        <v>90</v>
      </c>
      <c r="S1" s="10" t="s">
        <v>91</v>
      </c>
      <c r="T1" s="10" t="s">
        <v>92</v>
      </c>
    </row>
    <row r="2" spans="1:20" x14ac:dyDescent="0.2">
      <c r="A2" s="10" t="s">
        <v>93</v>
      </c>
      <c r="B2" s="10">
        <v>2019</v>
      </c>
      <c r="C2" s="10">
        <v>0.39</v>
      </c>
      <c r="D2" s="10">
        <v>0.3</v>
      </c>
      <c r="E2" s="10">
        <v>0.5</v>
      </c>
      <c r="F2" s="10" t="s">
        <v>20</v>
      </c>
      <c r="G2" s="10" t="s">
        <v>21</v>
      </c>
      <c r="H2" s="10" t="s">
        <v>181</v>
      </c>
      <c r="I2" s="10">
        <v>19</v>
      </c>
      <c r="J2" s="10">
        <v>91</v>
      </c>
      <c r="K2" s="10">
        <v>574</v>
      </c>
      <c r="L2" s="10">
        <v>201</v>
      </c>
      <c r="M2" s="10">
        <v>576</v>
      </c>
      <c r="N2" s="12" t="s">
        <v>94</v>
      </c>
    </row>
    <row r="3" spans="1:20" x14ac:dyDescent="0.2">
      <c r="A3" s="10" t="s">
        <v>95</v>
      </c>
      <c r="B3" s="10">
        <v>2018</v>
      </c>
      <c r="C3" s="10">
        <v>0.62</v>
      </c>
      <c r="D3" s="10">
        <v>0.51</v>
      </c>
      <c r="E3" s="10">
        <v>0.75</v>
      </c>
      <c r="F3" s="10" t="s">
        <v>20</v>
      </c>
      <c r="G3" s="10" t="s">
        <v>21</v>
      </c>
      <c r="H3" s="10" t="s">
        <v>105</v>
      </c>
      <c r="I3" s="10">
        <v>19.8</v>
      </c>
      <c r="J3" s="10">
        <v>194</v>
      </c>
      <c r="K3" s="10">
        <v>397</v>
      </c>
      <c r="L3" s="10">
        <v>242</v>
      </c>
      <c r="M3" s="10">
        <v>393</v>
      </c>
      <c r="N3" s="10">
        <v>29384722</v>
      </c>
    </row>
    <row r="4" spans="1:20" s="21" customFormat="1" x14ac:dyDescent="0.2">
      <c r="A4" s="21" t="s">
        <v>96</v>
      </c>
      <c r="B4" s="21">
        <v>2023</v>
      </c>
      <c r="C4" s="21">
        <v>0.45</v>
      </c>
      <c r="D4" s="21">
        <v>0.39</v>
      </c>
      <c r="E4" s="21">
        <v>0.53</v>
      </c>
      <c r="F4" s="21" t="s">
        <v>20</v>
      </c>
      <c r="G4" s="21" t="s">
        <v>21</v>
      </c>
      <c r="H4" s="21" t="s">
        <v>181</v>
      </c>
      <c r="I4" s="21" t="s">
        <v>97</v>
      </c>
      <c r="J4" s="21">
        <v>268</v>
      </c>
      <c r="K4" s="21">
        <v>563</v>
      </c>
      <c r="L4" s="21">
        <v>413</v>
      </c>
      <c r="M4" s="21">
        <v>562</v>
      </c>
      <c r="N4" s="21">
        <v>36990608</v>
      </c>
    </row>
    <row r="5" spans="1:20" x14ac:dyDescent="0.2">
      <c r="A5" s="10" t="s">
        <v>98</v>
      </c>
      <c r="B5" s="10">
        <v>2015</v>
      </c>
      <c r="C5" s="10">
        <v>0.69</v>
      </c>
      <c r="D5" s="10">
        <v>0.55000000000000004</v>
      </c>
      <c r="E5" s="10">
        <v>0.87</v>
      </c>
      <c r="F5" s="10" t="s">
        <v>20</v>
      </c>
      <c r="G5" s="10" t="s">
        <v>21</v>
      </c>
      <c r="H5" s="10" t="s">
        <v>105</v>
      </c>
      <c r="I5" s="10">
        <v>15.3</v>
      </c>
      <c r="J5" s="10" t="s">
        <v>97</v>
      </c>
      <c r="K5" s="10" t="s">
        <v>97</v>
      </c>
      <c r="L5" s="10" t="s">
        <v>97</v>
      </c>
      <c r="M5" s="10" t="s">
        <v>97</v>
      </c>
      <c r="N5" s="13">
        <v>26610858</v>
      </c>
      <c r="O5" s="14"/>
    </row>
    <row r="6" spans="1:20" x14ac:dyDescent="0.2">
      <c r="A6" s="10" t="s">
        <v>99</v>
      </c>
      <c r="B6" s="10">
        <v>2019</v>
      </c>
      <c r="C6" s="10">
        <v>0.57999999999999996</v>
      </c>
      <c r="D6" s="10">
        <v>0.49</v>
      </c>
      <c r="E6" s="10">
        <v>0.68</v>
      </c>
      <c r="F6" s="10" t="s">
        <v>20</v>
      </c>
      <c r="G6" s="10" t="s">
        <v>21</v>
      </c>
      <c r="H6" s="10" t="s">
        <v>181</v>
      </c>
      <c r="I6" s="10">
        <v>30.1</v>
      </c>
      <c r="J6" s="10">
        <v>267</v>
      </c>
      <c r="K6" s="10">
        <v>597</v>
      </c>
      <c r="L6" s="10">
        <v>336</v>
      </c>
      <c r="M6" s="10">
        <v>602</v>
      </c>
      <c r="N6" s="10">
        <v>30987939</v>
      </c>
    </row>
    <row r="7" spans="1:20" x14ac:dyDescent="0.2">
      <c r="A7" s="10" t="s">
        <v>100</v>
      </c>
      <c r="B7" s="10">
        <v>2016</v>
      </c>
      <c r="C7" s="10">
        <v>0.69</v>
      </c>
      <c r="D7" s="10">
        <v>0.59</v>
      </c>
      <c r="E7" s="10">
        <v>0.81</v>
      </c>
      <c r="F7" s="10" t="s">
        <v>20</v>
      </c>
      <c r="G7" s="10" t="s">
        <v>21</v>
      </c>
      <c r="H7" s="10" t="s">
        <v>105</v>
      </c>
      <c r="I7" s="10">
        <v>40.700000000000003</v>
      </c>
      <c r="J7" s="10">
        <v>138</v>
      </c>
      <c r="K7" s="10">
        <v>354</v>
      </c>
      <c r="L7" s="10">
        <v>543</v>
      </c>
      <c r="M7" s="10">
        <v>724</v>
      </c>
      <c r="N7" s="10">
        <v>31560068</v>
      </c>
    </row>
    <row r="8" spans="1:20" x14ac:dyDescent="0.2">
      <c r="A8" s="10" t="s">
        <v>101</v>
      </c>
      <c r="B8" s="10">
        <v>2019</v>
      </c>
      <c r="C8" s="10">
        <v>0.57999999999999996</v>
      </c>
      <c r="D8" s="10">
        <v>0.49</v>
      </c>
      <c r="E8" s="10">
        <v>0.69</v>
      </c>
      <c r="F8" s="10" t="s">
        <v>20</v>
      </c>
      <c r="G8" s="10" t="s">
        <v>21</v>
      </c>
      <c r="H8" s="10" t="s">
        <v>181</v>
      </c>
      <c r="I8" s="10">
        <f>3.4*12</f>
        <v>40.799999999999997</v>
      </c>
      <c r="J8" s="30">
        <v>241</v>
      </c>
      <c r="K8" s="30">
        <v>501</v>
      </c>
      <c r="L8" s="10">
        <v>323</v>
      </c>
      <c r="M8" s="10">
        <v>502</v>
      </c>
      <c r="N8" s="10">
        <v>31447077</v>
      </c>
    </row>
    <row r="9" spans="1:20" x14ac:dyDescent="0.2">
      <c r="A9" s="10" t="s">
        <v>102</v>
      </c>
      <c r="B9" s="10">
        <v>2022</v>
      </c>
      <c r="C9" s="10">
        <v>0.57999999999999996</v>
      </c>
      <c r="D9" s="10">
        <v>0.51</v>
      </c>
      <c r="E9" s="10">
        <v>0.67</v>
      </c>
      <c r="F9" s="10" t="s">
        <v>20</v>
      </c>
      <c r="G9" s="10" t="s">
        <v>21</v>
      </c>
      <c r="H9" s="10" t="s">
        <v>181</v>
      </c>
      <c r="I9" s="10">
        <v>23</v>
      </c>
      <c r="J9" s="10">
        <v>343</v>
      </c>
      <c r="K9" s="10">
        <v>638</v>
      </c>
      <c r="L9" s="10">
        <v>444</v>
      </c>
      <c r="M9" s="10">
        <v>641</v>
      </c>
      <c r="N9" s="9">
        <v>35446628</v>
      </c>
    </row>
    <row r="10" spans="1:20" x14ac:dyDescent="0.2">
      <c r="A10" s="10" t="s">
        <v>103</v>
      </c>
      <c r="B10" s="10">
        <v>2019</v>
      </c>
      <c r="C10" s="10">
        <v>0.49</v>
      </c>
      <c r="D10" s="10">
        <v>0.4</v>
      </c>
      <c r="E10" s="10">
        <v>0.61</v>
      </c>
      <c r="F10" s="10" t="s">
        <v>20</v>
      </c>
      <c r="G10" s="10" t="s">
        <v>21</v>
      </c>
      <c r="H10" s="10" t="s">
        <v>181</v>
      </c>
      <c r="I10" s="10">
        <v>22.1</v>
      </c>
      <c r="J10" s="10">
        <v>134</v>
      </c>
      <c r="K10" s="10">
        <v>525</v>
      </c>
      <c r="L10" s="10">
        <v>231</v>
      </c>
      <c r="M10" s="10">
        <v>527</v>
      </c>
      <c r="N10" s="15">
        <v>31150574</v>
      </c>
    </row>
    <row r="12" spans="1:20" x14ac:dyDescent="0.2">
      <c r="P12" s="12"/>
    </row>
    <row r="14" spans="1:20" x14ac:dyDescent="0.2">
      <c r="P14" s="15"/>
    </row>
    <row r="17" spans="16:16" x14ac:dyDescent="0.2">
      <c r="P17" s="13"/>
    </row>
  </sheetData>
  <conditionalFormatting sqref="N4">
    <cfRule type="duplicateValues" dxfId="105" priority="1"/>
  </conditionalFormatting>
  <conditionalFormatting sqref="N9">
    <cfRule type="duplicateValues" dxfId="104" priority="2"/>
    <cfRule type="duplicateValues" dxfId="103" priority="3"/>
  </conditionalFormatting>
  <conditionalFormatting sqref="N10">
    <cfRule type="duplicateValues" dxfId="102" priority="4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00949-132F-42F3-9C2F-D3BD6ECA3AFA}">
  <dimension ref="A1:U10"/>
  <sheetViews>
    <sheetView workbookViewId="0">
      <selection activeCell="O2" sqref="O2:T10"/>
    </sheetView>
  </sheetViews>
  <sheetFormatPr baseColWidth="10" defaultColWidth="9.1640625" defaultRowHeight="13" x14ac:dyDescent="0.2"/>
  <cols>
    <col min="1" max="1" width="9.1640625" style="10"/>
    <col min="2" max="5" width="9.33203125" style="10" bestFit="1" customWidth="1"/>
    <col min="6" max="7" width="9.1640625" style="10"/>
    <col min="8" max="8" width="16.33203125" style="10" bestFit="1" customWidth="1"/>
    <col min="9" max="9" width="9.33203125" style="10" bestFit="1" customWidth="1"/>
    <col min="10" max="11" width="9.33203125" style="10" customWidth="1"/>
    <col min="12" max="13" width="9.33203125" style="10" bestFit="1" customWidth="1"/>
    <col min="14" max="14" width="11.5" style="10" bestFit="1" customWidth="1"/>
    <col min="15" max="16384" width="9.1640625" style="10"/>
  </cols>
  <sheetData>
    <row r="1" spans="1:21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0" t="s">
        <v>47</v>
      </c>
      <c r="I1" s="11" t="s">
        <v>83</v>
      </c>
      <c r="J1" s="11" t="s">
        <v>85</v>
      </c>
      <c r="K1" s="11" t="s">
        <v>110</v>
      </c>
      <c r="L1" s="11" t="s">
        <v>84</v>
      </c>
      <c r="M1" s="11" t="s">
        <v>111</v>
      </c>
      <c r="N1" s="10" t="s">
        <v>86</v>
      </c>
      <c r="O1" s="10" t="s">
        <v>87</v>
      </c>
      <c r="P1" s="10" t="s">
        <v>88</v>
      </c>
      <c r="Q1" s="10" t="s">
        <v>89</v>
      </c>
      <c r="R1" s="10" t="s">
        <v>90</v>
      </c>
      <c r="S1" s="10" t="s">
        <v>91</v>
      </c>
      <c r="T1" s="10" t="s">
        <v>92</v>
      </c>
    </row>
    <row r="2" spans="1:21" x14ac:dyDescent="0.2">
      <c r="A2" s="10" t="s">
        <v>93</v>
      </c>
      <c r="B2" s="10">
        <v>2022</v>
      </c>
      <c r="C2" s="10">
        <v>0.66</v>
      </c>
      <c r="D2" s="10">
        <v>0.53</v>
      </c>
      <c r="E2" s="10">
        <v>0.81</v>
      </c>
      <c r="F2" s="10" t="s">
        <v>20</v>
      </c>
      <c r="G2" s="10" t="s">
        <v>21</v>
      </c>
      <c r="H2" s="20" t="s">
        <v>181</v>
      </c>
      <c r="I2" s="10" t="s">
        <v>97</v>
      </c>
      <c r="J2" s="10">
        <v>154</v>
      </c>
      <c r="K2" s="10">
        <v>574</v>
      </c>
      <c r="L2" s="10">
        <v>202</v>
      </c>
      <c r="M2" s="10">
        <v>576</v>
      </c>
      <c r="N2" s="19">
        <v>35420921</v>
      </c>
    </row>
    <row r="3" spans="1:21" x14ac:dyDescent="0.2">
      <c r="A3" s="10" t="s">
        <v>95</v>
      </c>
      <c r="B3" s="10">
        <v>2018</v>
      </c>
      <c r="C3" s="11">
        <v>0.72</v>
      </c>
      <c r="D3" s="11">
        <v>0.59</v>
      </c>
      <c r="E3" s="11">
        <v>0.89</v>
      </c>
      <c r="F3" s="10" t="s">
        <v>20</v>
      </c>
      <c r="G3" s="10" t="s">
        <v>21</v>
      </c>
      <c r="H3" s="10" t="s">
        <v>105</v>
      </c>
      <c r="I3" s="10">
        <v>47.2</v>
      </c>
      <c r="J3" s="10">
        <v>188</v>
      </c>
      <c r="K3" s="10">
        <v>397</v>
      </c>
      <c r="L3" s="10">
        <v>211</v>
      </c>
      <c r="M3" s="10">
        <v>393</v>
      </c>
      <c r="N3" s="10">
        <v>29384722</v>
      </c>
    </row>
    <row r="4" spans="1:21" s="21" customFormat="1" x14ac:dyDescent="0.2">
      <c r="A4" s="21" t="s">
        <v>96</v>
      </c>
      <c r="B4" s="21">
        <v>2023</v>
      </c>
      <c r="C4" s="22">
        <v>0.7</v>
      </c>
      <c r="D4" s="22">
        <v>0.57999999999999996</v>
      </c>
      <c r="E4" s="22">
        <v>0.84</v>
      </c>
      <c r="F4" s="21" t="s">
        <v>20</v>
      </c>
      <c r="G4" s="21" t="s">
        <v>21</v>
      </c>
      <c r="H4" s="21" t="s">
        <v>181</v>
      </c>
      <c r="I4" s="22" t="s">
        <v>97</v>
      </c>
      <c r="J4" s="21">
        <v>208</v>
      </c>
      <c r="K4" s="21">
        <v>563</v>
      </c>
      <c r="L4" s="21">
        <v>268</v>
      </c>
      <c r="M4" s="21">
        <v>562</v>
      </c>
      <c r="N4" s="21">
        <v>36990608</v>
      </c>
    </row>
    <row r="5" spans="1:21" x14ac:dyDescent="0.2">
      <c r="A5" s="10" t="s">
        <v>98</v>
      </c>
      <c r="B5" s="10">
        <v>2015</v>
      </c>
      <c r="C5" s="10">
        <v>0.88</v>
      </c>
      <c r="D5" s="10">
        <v>0.68</v>
      </c>
      <c r="E5" s="10">
        <v>1.1399999999999999</v>
      </c>
      <c r="F5" s="10" t="s">
        <v>20</v>
      </c>
      <c r="G5" s="10" t="s">
        <v>21</v>
      </c>
      <c r="H5" s="10" t="s">
        <v>105</v>
      </c>
      <c r="I5" s="10">
        <v>48.6</v>
      </c>
      <c r="J5" s="10">
        <v>115</v>
      </c>
      <c r="K5" s="10">
        <v>192</v>
      </c>
      <c r="L5" s="10">
        <v>127</v>
      </c>
      <c r="M5" s="10">
        <v>193</v>
      </c>
      <c r="N5" s="13">
        <v>26610858</v>
      </c>
      <c r="O5" s="14"/>
    </row>
    <row r="6" spans="1:21" x14ac:dyDescent="0.2">
      <c r="A6" s="16" t="s">
        <v>99</v>
      </c>
      <c r="B6" s="14">
        <v>2019</v>
      </c>
      <c r="C6" s="16">
        <v>0.66</v>
      </c>
      <c r="D6" s="16">
        <v>0.56999999999999995</v>
      </c>
      <c r="E6" s="16">
        <v>0.78</v>
      </c>
      <c r="F6" s="10" t="s">
        <v>20</v>
      </c>
      <c r="G6" s="10" t="s">
        <v>21</v>
      </c>
      <c r="H6" s="10" t="s">
        <v>181</v>
      </c>
      <c r="I6" s="10">
        <v>36.5</v>
      </c>
      <c r="J6" s="10">
        <v>275</v>
      </c>
      <c r="K6" s="10">
        <v>597</v>
      </c>
      <c r="L6" s="10">
        <v>343</v>
      </c>
      <c r="M6" s="10">
        <v>602</v>
      </c>
      <c r="N6" s="10">
        <v>30987939</v>
      </c>
    </row>
    <row r="7" spans="1:21" x14ac:dyDescent="0.2">
      <c r="A7" s="10" t="s">
        <v>100</v>
      </c>
      <c r="B7" s="10">
        <v>2016</v>
      </c>
      <c r="C7" s="11">
        <v>0.81</v>
      </c>
      <c r="D7" s="11">
        <v>0.69</v>
      </c>
      <c r="E7" s="11">
        <v>0.95</v>
      </c>
      <c r="F7" s="10" t="s">
        <v>20</v>
      </c>
      <c r="G7" s="10" t="s">
        <v>21</v>
      </c>
      <c r="H7" s="10" t="s">
        <v>105</v>
      </c>
      <c r="I7" s="10">
        <v>57.1</v>
      </c>
      <c r="J7" s="10">
        <v>185</v>
      </c>
      <c r="K7" s="10">
        <v>362</v>
      </c>
      <c r="L7" s="10">
        <v>456</v>
      </c>
      <c r="M7" s="10">
        <v>724</v>
      </c>
      <c r="N7" s="10">
        <v>31560068</v>
      </c>
    </row>
    <row r="8" spans="1:21" s="21" customFormat="1" x14ac:dyDescent="0.2">
      <c r="A8" s="21" t="s">
        <v>101</v>
      </c>
      <c r="B8" s="24">
        <v>2023</v>
      </c>
      <c r="C8" s="22">
        <v>0.62</v>
      </c>
      <c r="D8" s="22">
        <v>0.53</v>
      </c>
      <c r="E8" s="21">
        <v>0.73</v>
      </c>
      <c r="F8" s="21" t="s">
        <v>20</v>
      </c>
      <c r="G8" s="21" t="s">
        <v>21</v>
      </c>
      <c r="H8" s="21" t="s">
        <v>181</v>
      </c>
      <c r="I8" s="21">
        <v>45.7</v>
      </c>
      <c r="J8" s="21">
        <v>293</v>
      </c>
      <c r="K8" s="21">
        <v>501</v>
      </c>
      <c r="L8" s="21">
        <v>371</v>
      </c>
      <c r="M8" s="21">
        <v>502</v>
      </c>
      <c r="N8" s="23">
        <v>37142371</v>
      </c>
      <c r="U8" s="21">
        <v>35411939</v>
      </c>
    </row>
    <row r="9" spans="1:21" x14ac:dyDescent="0.2">
      <c r="A9" s="10" t="s">
        <v>102</v>
      </c>
      <c r="B9" s="14">
        <v>2022</v>
      </c>
      <c r="C9" s="11">
        <v>0.86</v>
      </c>
      <c r="D9" s="11">
        <v>0.72</v>
      </c>
      <c r="E9" s="11">
        <v>1.02</v>
      </c>
      <c r="F9" s="10" t="s">
        <v>20</v>
      </c>
      <c r="G9" s="10" t="s">
        <v>21</v>
      </c>
      <c r="H9" s="10" t="s">
        <v>181</v>
      </c>
      <c r="I9" s="10">
        <v>70.2</v>
      </c>
      <c r="J9" s="10">
        <v>251</v>
      </c>
      <c r="K9" s="10">
        <v>638</v>
      </c>
      <c r="L9" s="10">
        <v>274</v>
      </c>
      <c r="M9" s="10">
        <v>641</v>
      </c>
      <c r="N9" s="9">
        <v>35446628</v>
      </c>
    </row>
    <row r="10" spans="1:21" x14ac:dyDescent="0.2">
      <c r="A10" s="10" t="s">
        <v>103</v>
      </c>
      <c r="B10" s="10">
        <v>2021</v>
      </c>
      <c r="C10" s="10">
        <v>0.65</v>
      </c>
      <c r="D10" s="10">
        <v>0.53</v>
      </c>
      <c r="E10" s="10">
        <v>0.79</v>
      </c>
      <c r="F10" s="10" t="s">
        <v>20</v>
      </c>
      <c r="G10" s="10" t="s">
        <v>21</v>
      </c>
      <c r="H10" s="10" t="s">
        <v>181</v>
      </c>
      <c r="I10" s="10" t="s">
        <v>97</v>
      </c>
      <c r="J10" s="10">
        <v>170</v>
      </c>
      <c r="K10" s="10">
        <v>525</v>
      </c>
      <c r="L10" s="10">
        <v>235</v>
      </c>
      <c r="M10" s="10">
        <v>527</v>
      </c>
      <c r="N10" s="15" t="s">
        <v>147</v>
      </c>
      <c r="O10" s="15"/>
    </row>
  </sheetData>
  <conditionalFormatting sqref="N4">
    <cfRule type="duplicateValues" dxfId="101" priority="1"/>
  </conditionalFormatting>
  <conditionalFormatting sqref="N6 N3">
    <cfRule type="duplicateValues" dxfId="100" priority="6"/>
  </conditionalFormatting>
  <conditionalFormatting sqref="N7">
    <cfRule type="duplicateValues" dxfId="99" priority="7"/>
  </conditionalFormatting>
  <conditionalFormatting sqref="N9">
    <cfRule type="duplicateValues" dxfId="98" priority="3"/>
    <cfRule type="duplicateValues" dxfId="97" priority="4"/>
  </conditionalFormatting>
  <conditionalFormatting sqref="O10">
    <cfRule type="duplicateValues" dxfId="96" priority="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E3D0-B93E-441E-9A8F-2B575CCE5C3F}">
  <dimension ref="A1:U9"/>
  <sheetViews>
    <sheetView workbookViewId="0">
      <selection activeCell="U4" sqref="U4"/>
    </sheetView>
  </sheetViews>
  <sheetFormatPr baseColWidth="10" defaultColWidth="9.1640625" defaultRowHeight="13" x14ac:dyDescent="0.2"/>
  <cols>
    <col min="1" max="1" width="18.6640625" style="10" bestFit="1" customWidth="1"/>
    <col min="2" max="5" width="9.33203125" style="10" bestFit="1" customWidth="1"/>
    <col min="6" max="8" width="9.1640625" style="10"/>
    <col min="9" max="9" width="9.33203125" style="10" bestFit="1" customWidth="1"/>
    <col min="10" max="11" width="9.33203125" style="10" customWidth="1"/>
    <col min="12" max="13" width="9.33203125" style="10" bestFit="1" customWidth="1"/>
    <col min="14" max="14" width="11.5" style="10" bestFit="1" customWidth="1"/>
    <col min="15" max="16384" width="9.1640625" style="10"/>
  </cols>
  <sheetData>
    <row r="1" spans="1:21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47</v>
      </c>
      <c r="I1" s="11" t="s">
        <v>83</v>
      </c>
      <c r="J1" s="11" t="s">
        <v>85</v>
      </c>
      <c r="K1" s="11" t="s">
        <v>110</v>
      </c>
      <c r="L1" s="11" t="s">
        <v>84</v>
      </c>
      <c r="M1" s="11" t="s">
        <v>85</v>
      </c>
      <c r="N1" s="10" t="s">
        <v>86</v>
      </c>
      <c r="O1" s="10" t="s">
        <v>87</v>
      </c>
      <c r="P1" s="10" t="s">
        <v>88</v>
      </c>
      <c r="Q1" s="10" t="s">
        <v>89</v>
      </c>
      <c r="R1" s="10" t="s">
        <v>90</v>
      </c>
      <c r="S1" s="10" t="s">
        <v>91</v>
      </c>
      <c r="T1" s="10" t="s">
        <v>92</v>
      </c>
    </row>
    <row r="2" spans="1:21" x14ac:dyDescent="0.2">
      <c r="A2" s="10" t="s">
        <v>93</v>
      </c>
      <c r="B2" s="10">
        <v>2022</v>
      </c>
      <c r="C2" s="11">
        <v>0.66</v>
      </c>
      <c r="D2" s="11">
        <v>0.43</v>
      </c>
      <c r="E2" s="11">
        <v>1.03</v>
      </c>
      <c r="F2" s="10" t="s">
        <v>20</v>
      </c>
      <c r="G2" s="10" t="s">
        <v>21</v>
      </c>
      <c r="H2" s="10" t="s">
        <v>181</v>
      </c>
      <c r="I2" s="10" t="s">
        <v>97</v>
      </c>
      <c r="J2" s="10">
        <v>35</v>
      </c>
      <c r="K2" s="10">
        <v>220</v>
      </c>
      <c r="L2" s="10">
        <v>46</v>
      </c>
      <c r="M2" s="10">
        <v>203</v>
      </c>
      <c r="N2" s="19">
        <v>35420921</v>
      </c>
    </row>
    <row r="3" spans="1:21" x14ac:dyDescent="0.2">
      <c r="A3" s="10" t="s">
        <v>95</v>
      </c>
      <c r="B3" s="10">
        <v>2018</v>
      </c>
      <c r="C3" s="10">
        <v>1.04</v>
      </c>
      <c r="D3" s="10">
        <v>0.7</v>
      </c>
      <c r="E3" s="10">
        <v>1.55</v>
      </c>
      <c r="F3" s="10" t="s">
        <v>20</v>
      </c>
      <c r="G3" s="10" t="s">
        <v>21</v>
      </c>
      <c r="H3" s="10" t="s">
        <v>105</v>
      </c>
      <c r="I3" s="10">
        <v>22.7</v>
      </c>
      <c r="J3" s="10">
        <v>67</v>
      </c>
      <c r="K3" s="10">
        <v>134</v>
      </c>
      <c r="L3" s="10">
        <v>90</v>
      </c>
      <c r="M3" s="10">
        <v>143</v>
      </c>
      <c r="N3" s="10">
        <v>29384722</v>
      </c>
    </row>
    <row r="4" spans="1:21" s="21" customFormat="1" x14ac:dyDescent="0.2">
      <c r="A4" s="21" t="s">
        <v>96</v>
      </c>
      <c r="B4" s="21">
        <v>2023</v>
      </c>
      <c r="C4" s="22">
        <v>0.54</v>
      </c>
      <c r="D4" s="22">
        <v>0.39</v>
      </c>
      <c r="E4" s="22">
        <v>0.74</v>
      </c>
      <c r="F4" s="21" t="s">
        <v>20</v>
      </c>
      <c r="G4" s="21" t="s">
        <v>21</v>
      </c>
      <c r="H4" s="21" t="s">
        <v>181</v>
      </c>
      <c r="I4" s="21" t="s">
        <v>97</v>
      </c>
      <c r="J4" s="21">
        <v>59</v>
      </c>
      <c r="K4" s="21">
        <v>262</v>
      </c>
      <c r="L4" s="21">
        <v>97</v>
      </c>
      <c r="M4" s="21">
        <v>261</v>
      </c>
      <c r="N4" s="21">
        <v>36990608</v>
      </c>
      <c r="O4" s="21">
        <v>31157964</v>
      </c>
    </row>
    <row r="5" spans="1:21" x14ac:dyDescent="0.2">
      <c r="A5" s="10" t="s">
        <v>98</v>
      </c>
      <c r="B5" s="14">
        <v>2015</v>
      </c>
      <c r="C5" s="11">
        <v>1.02</v>
      </c>
      <c r="D5" s="11">
        <v>0.67</v>
      </c>
      <c r="E5" s="11">
        <v>1.55</v>
      </c>
      <c r="F5" s="10" t="s">
        <v>20</v>
      </c>
      <c r="G5" s="10" t="s">
        <v>21</v>
      </c>
      <c r="H5" s="10" t="s">
        <v>105</v>
      </c>
      <c r="I5" s="10">
        <v>83.4</v>
      </c>
      <c r="J5" s="10" t="s">
        <v>97</v>
      </c>
      <c r="K5" s="10" t="s">
        <v>97</v>
      </c>
      <c r="L5" s="10" t="s">
        <v>97</v>
      </c>
      <c r="M5" s="10" t="s">
        <v>97</v>
      </c>
      <c r="N5" s="13">
        <v>26610858</v>
      </c>
    </row>
    <row r="6" spans="1:21" x14ac:dyDescent="0.2">
      <c r="A6" s="10" t="s">
        <v>99</v>
      </c>
      <c r="B6" s="14">
        <v>2019</v>
      </c>
      <c r="C6" s="16">
        <v>0.72</v>
      </c>
      <c r="D6" s="16">
        <v>0.47</v>
      </c>
      <c r="E6" s="16">
        <v>1.1000000000000001</v>
      </c>
      <c r="F6" s="10" t="s">
        <v>20</v>
      </c>
      <c r="G6" s="10" t="s">
        <v>21</v>
      </c>
      <c r="H6" s="10" t="s">
        <v>181</v>
      </c>
      <c r="I6" s="10" t="s">
        <v>97</v>
      </c>
      <c r="J6" s="10">
        <v>34</v>
      </c>
      <c r="K6" s="10">
        <v>110</v>
      </c>
      <c r="L6" s="10">
        <v>54</v>
      </c>
      <c r="M6" s="10">
        <v>133</v>
      </c>
      <c r="N6" s="10">
        <v>30987939</v>
      </c>
    </row>
    <row r="7" spans="1:21" x14ac:dyDescent="0.2">
      <c r="A7" s="10" t="s">
        <v>100</v>
      </c>
      <c r="B7" s="10">
        <v>2016</v>
      </c>
      <c r="C7" s="10">
        <v>0.76</v>
      </c>
      <c r="D7" s="10">
        <v>0.54</v>
      </c>
      <c r="E7" s="10">
        <v>1.07</v>
      </c>
      <c r="F7" s="10" t="s">
        <v>20</v>
      </c>
      <c r="G7" s="10" t="s">
        <v>21</v>
      </c>
      <c r="H7" s="10" t="s">
        <v>105</v>
      </c>
      <c r="I7" s="10">
        <v>75.8</v>
      </c>
      <c r="J7" s="10">
        <v>35</v>
      </c>
      <c r="K7" s="10">
        <v>124</v>
      </c>
      <c r="L7" s="10">
        <f>238-136</f>
        <v>102</v>
      </c>
      <c r="M7" s="10">
        <v>238</v>
      </c>
      <c r="N7" s="10">
        <v>31560068</v>
      </c>
    </row>
    <row r="8" spans="1:21" s="21" customFormat="1" x14ac:dyDescent="0.2">
      <c r="A8" s="21" t="s">
        <v>101</v>
      </c>
      <c r="B8" s="21">
        <v>2023</v>
      </c>
      <c r="C8" s="22">
        <v>0.57999999999999996</v>
      </c>
      <c r="D8" s="22">
        <v>0.44</v>
      </c>
      <c r="E8" s="22">
        <v>0.75</v>
      </c>
      <c r="F8" s="21" t="s">
        <v>20</v>
      </c>
      <c r="G8" s="21" t="s">
        <v>21</v>
      </c>
      <c r="H8" s="21" t="s">
        <v>181</v>
      </c>
      <c r="I8" s="21" t="s">
        <v>97</v>
      </c>
      <c r="J8" s="21">
        <v>96</v>
      </c>
      <c r="K8" s="21">
        <v>222</v>
      </c>
      <c r="L8" s="21">
        <v>130</v>
      </c>
      <c r="M8" s="21">
        <v>204</v>
      </c>
      <c r="N8" s="23">
        <v>37142371</v>
      </c>
      <c r="U8" s="23" t="s">
        <v>104</v>
      </c>
    </row>
    <row r="9" spans="1:21" x14ac:dyDescent="0.2">
      <c r="A9" s="10" t="s">
        <v>103</v>
      </c>
      <c r="B9" s="10">
        <v>2021</v>
      </c>
      <c r="C9" s="11">
        <v>0.52</v>
      </c>
      <c r="D9" s="11">
        <v>0.35</v>
      </c>
      <c r="E9" s="11">
        <v>0.79</v>
      </c>
      <c r="F9" s="10" t="s">
        <v>20</v>
      </c>
      <c r="G9" s="10" t="s">
        <v>21</v>
      </c>
      <c r="H9" s="10" t="s">
        <v>181</v>
      </c>
      <c r="I9" s="10" t="s">
        <v>97</v>
      </c>
      <c r="J9" s="10">
        <v>36</v>
      </c>
      <c r="K9" s="10">
        <v>200</v>
      </c>
      <c r="L9" s="10">
        <v>60</v>
      </c>
      <c r="M9" s="10">
        <v>192</v>
      </c>
      <c r="N9" s="15" t="s">
        <v>147</v>
      </c>
    </row>
  </sheetData>
  <conditionalFormatting sqref="N4">
    <cfRule type="duplicateValues" dxfId="95" priority="1"/>
  </conditionalFormatting>
  <conditionalFormatting sqref="N5">
    <cfRule type="duplicateValues" dxfId="94" priority="3"/>
  </conditionalFormatting>
  <conditionalFormatting sqref="N6">
    <cfRule type="duplicateValues" dxfId="93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1712-9E50-4AA9-9E12-72A094274480}">
  <dimension ref="A1:U9"/>
  <sheetViews>
    <sheetView workbookViewId="0">
      <selection activeCell="J21" sqref="J21"/>
    </sheetView>
  </sheetViews>
  <sheetFormatPr baseColWidth="10" defaultColWidth="9.1640625" defaultRowHeight="13" x14ac:dyDescent="0.2"/>
  <cols>
    <col min="1" max="1" width="9.1640625" style="10"/>
    <col min="2" max="5" width="9.33203125" style="10" bestFit="1" customWidth="1"/>
    <col min="6" max="8" width="9.1640625" style="10"/>
    <col min="9" max="9" width="9.33203125" style="10" bestFit="1" customWidth="1"/>
    <col min="10" max="11" width="9.33203125" style="10" customWidth="1"/>
    <col min="12" max="13" width="9.33203125" style="10" bestFit="1" customWidth="1"/>
    <col min="14" max="14" width="11.5" style="10" bestFit="1" customWidth="1"/>
    <col min="15" max="16384" width="9.1640625" style="10"/>
  </cols>
  <sheetData>
    <row r="1" spans="1:21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47</v>
      </c>
      <c r="I1" s="11" t="s">
        <v>83</v>
      </c>
      <c r="J1" s="11" t="s">
        <v>85</v>
      </c>
      <c r="K1" s="11" t="s">
        <v>110</v>
      </c>
      <c r="L1" s="11" t="s">
        <v>84</v>
      </c>
      <c r="M1" s="11" t="s">
        <v>111</v>
      </c>
      <c r="N1" s="10" t="s">
        <v>86</v>
      </c>
      <c r="O1" s="10" t="s">
        <v>87</v>
      </c>
      <c r="P1" s="10" t="s">
        <v>88</v>
      </c>
      <c r="Q1" s="10" t="s">
        <v>89</v>
      </c>
      <c r="R1" s="10" t="s">
        <v>90</v>
      </c>
      <c r="S1" s="10" t="s">
        <v>91</v>
      </c>
      <c r="T1" s="10" t="s">
        <v>92</v>
      </c>
    </row>
    <row r="2" spans="1:21" x14ac:dyDescent="0.2">
      <c r="A2" s="10" t="s">
        <v>93</v>
      </c>
      <c r="B2" s="10">
        <v>2022</v>
      </c>
      <c r="C2" s="11">
        <v>0.66</v>
      </c>
      <c r="D2" s="11">
        <v>0.52</v>
      </c>
      <c r="E2" s="11">
        <v>0.83</v>
      </c>
      <c r="F2" s="10" t="s">
        <v>20</v>
      </c>
      <c r="G2" s="10" t="s">
        <v>21</v>
      </c>
      <c r="H2" s="10" t="s">
        <v>181</v>
      </c>
      <c r="I2" s="10">
        <v>45.9</v>
      </c>
      <c r="J2" s="10">
        <v>119</v>
      </c>
      <c r="K2" s="10">
        <v>354</v>
      </c>
      <c r="L2" s="10">
        <v>156</v>
      </c>
      <c r="M2" s="10">
        <v>373</v>
      </c>
      <c r="N2" s="19">
        <v>35420921</v>
      </c>
    </row>
    <row r="3" spans="1:21" x14ac:dyDescent="0.2">
      <c r="A3" s="10" t="s">
        <v>95</v>
      </c>
      <c r="B3" s="10">
        <v>2018</v>
      </c>
      <c r="C3" s="10">
        <v>0.63</v>
      </c>
      <c r="D3" s="10">
        <v>0.5</v>
      </c>
      <c r="E3" s="10">
        <v>0.79</v>
      </c>
      <c r="F3" s="10" t="s">
        <v>20</v>
      </c>
      <c r="G3" s="10" t="s">
        <v>21</v>
      </c>
      <c r="H3" s="10" t="s">
        <v>105</v>
      </c>
      <c r="I3" s="10">
        <v>34.4</v>
      </c>
      <c r="J3" s="10">
        <v>137</v>
      </c>
      <c r="K3" s="10">
        <v>263</v>
      </c>
      <c r="L3" s="10">
        <v>162</v>
      </c>
      <c r="M3" s="10">
        <v>250</v>
      </c>
      <c r="N3" s="10">
        <v>29384722</v>
      </c>
    </row>
    <row r="4" spans="1:21" s="21" customFormat="1" x14ac:dyDescent="0.2">
      <c r="A4" s="21" t="s">
        <v>96</v>
      </c>
      <c r="B4" s="21">
        <v>2023</v>
      </c>
      <c r="C4" s="22">
        <v>0.79</v>
      </c>
      <c r="D4" s="22">
        <v>0.63</v>
      </c>
      <c r="E4" s="22">
        <v>0.98</v>
      </c>
      <c r="F4" s="21" t="s">
        <v>20</v>
      </c>
      <c r="G4" s="21" t="s">
        <v>21</v>
      </c>
      <c r="H4" s="21" t="s">
        <v>181</v>
      </c>
      <c r="I4" s="21" t="s">
        <v>97</v>
      </c>
      <c r="J4" s="21">
        <v>149</v>
      </c>
      <c r="K4" s="21">
        <v>301</v>
      </c>
      <c r="L4" s="21">
        <v>171</v>
      </c>
      <c r="M4" s="21">
        <v>301</v>
      </c>
      <c r="N4" s="21">
        <v>36990608</v>
      </c>
    </row>
    <row r="5" spans="1:21" x14ac:dyDescent="0.2">
      <c r="A5" s="10" t="s">
        <v>98</v>
      </c>
      <c r="B5" s="10">
        <v>2015</v>
      </c>
      <c r="C5" s="10">
        <v>0.78</v>
      </c>
      <c r="D5" s="10">
        <v>0.56000000000000005</v>
      </c>
      <c r="E5" s="10">
        <v>1.0900000000000001</v>
      </c>
      <c r="F5" s="10" t="s">
        <v>20</v>
      </c>
      <c r="G5" s="10" t="s">
        <v>21</v>
      </c>
      <c r="H5" s="10" t="s">
        <v>105</v>
      </c>
      <c r="I5" s="10">
        <v>35.1</v>
      </c>
      <c r="J5" s="10" t="s">
        <v>97</v>
      </c>
      <c r="K5" s="10" t="s">
        <v>97</v>
      </c>
      <c r="L5" s="10" t="s">
        <v>97</v>
      </c>
      <c r="M5" s="10" t="s">
        <v>97</v>
      </c>
      <c r="N5" s="13">
        <v>26610858</v>
      </c>
    </row>
    <row r="6" spans="1:21" x14ac:dyDescent="0.2">
      <c r="A6" s="16" t="s">
        <v>99</v>
      </c>
      <c r="B6" s="14">
        <v>2019</v>
      </c>
      <c r="C6" s="16">
        <v>0.62</v>
      </c>
      <c r="D6" s="16">
        <v>0.52</v>
      </c>
      <c r="E6" s="16">
        <v>0.74</v>
      </c>
      <c r="F6" s="10" t="s">
        <v>20</v>
      </c>
      <c r="G6" s="10" t="s">
        <v>21</v>
      </c>
      <c r="H6" s="10" t="s">
        <v>181</v>
      </c>
      <c r="I6" s="10" t="s">
        <v>97</v>
      </c>
      <c r="J6" s="10">
        <v>241</v>
      </c>
      <c r="K6" s="10">
        <v>487</v>
      </c>
      <c r="L6" s="10">
        <v>289</v>
      </c>
      <c r="M6" s="10">
        <v>468</v>
      </c>
      <c r="N6" s="10">
        <v>30987939</v>
      </c>
    </row>
    <row r="7" spans="1:21" x14ac:dyDescent="0.2">
      <c r="A7" s="10" t="s">
        <v>100</v>
      </c>
      <c r="B7" s="10">
        <v>2016</v>
      </c>
      <c r="C7" s="10">
        <v>0.81</v>
      </c>
      <c r="D7" s="10">
        <v>0.64</v>
      </c>
      <c r="E7" s="10">
        <v>1.02</v>
      </c>
      <c r="F7" s="10" t="s">
        <v>20</v>
      </c>
      <c r="G7" s="10" t="s">
        <v>21</v>
      </c>
      <c r="H7" s="10" t="s">
        <v>105</v>
      </c>
      <c r="I7" s="10">
        <v>44.8</v>
      </c>
      <c r="J7" s="10">
        <v>116</v>
      </c>
      <c r="K7" s="10">
        <v>196</v>
      </c>
      <c r="L7" s="10">
        <v>153</v>
      </c>
      <c r="M7" s="10">
        <v>209</v>
      </c>
      <c r="N7" s="14">
        <v>31560068</v>
      </c>
    </row>
    <row r="8" spans="1:21" s="21" customFormat="1" x14ac:dyDescent="0.2">
      <c r="A8" s="21" t="s">
        <v>101</v>
      </c>
      <c r="B8" s="21">
        <v>2023</v>
      </c>
      <c r="C8" s="22">
        <v>0.66</v>
      </c>
      <c r="D8" s="22">
        <v>0.54</v>
      </c>
      <c r="E8" s="22">
        <v>0.81</v>
      </c>
      <c r="F8" s="21" t="s">
        <v>20</v>
      </c>
      <c r="G8" s="21" t="s">
        <v>21</v>
      </c>
      <c r="H8" s="21" t="s">
        <v>181</v>
      </c>
      <c r="I8" s="21" t="s">
        <v>97</v>
      </c>
      <c r="J8" s="21">
        <v>184</v>
      </c>
      <c r="K8" s="21">
        <v>253</v>
      </c>
      <c r="L8" s="21">
        <v>221</v>
      </c>
      <c r="M8" s="21">
        <v>271</v>
      </c>
      <c r="N8" s="23">
        <v>37142371</v>
      </c>
      <c r="U8" s="23" t="s">
        <v>104</v>
      </c>
    </row>
    <row r="9" spans="1:21" x14ac:dyDescent="0.2">
      <c r="A9" s="10" t="s">
        <v>103</v>
      </c>
      <c r="B9" s="10">
        <v>2021</v>
      </c>
      <c r="C9" s="11">
        <v>0.7</v>
      </c>
      <c r="D9" s="11">
        <v>0.56000000000000005</v>
      </c>
      <c r="E9" s="11">
        <v>0.88</v>
      </c>
      <c r="F9" s="10" t="s">
        <v>20</v>
      </c>
      <c r="G9" s="10" t="s">
        <v>21</v>
      </c>
      <c r="H9" s="10" t="s">
        <v>181</v>
      </c>
      <c r="I9" s="10" t="s">
        <v>97</v>
      </c>
      <c r="J9" s="10">
        <v>134</v>
      </c>
      <c r="K9" s="10">
        <v>325</v>
      </c>
      <c r="L9" s="10">
        <v>175</v>
      </c>
      <c r="M9" s="10">
        <v>335</v>
      </c>
      <c r="N9" s="15" t="s">
        <v>147</v>
      </c>
    </row>
  </sheetData>
  <conditionalFormatting sqref="N4">
    <cfRule type="duplicateValues" dxfId="92" priority="1"/>
  </conditionalFormatting>
  <conditionalFormatting sqref="N5">
    <cfRule type="duplicateValues" dxfId="91" priority="3"/>
  </conditionalFormatting>
  <conditionalFormatting sqref="N6">
    <cfRule type="duplicateValues" dxfId="90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B9DE-ADFE-4C46-953C-2C3DB79F44AF}">
  <dimension ref="A1:T9"/>
  <sheetViews>
    <sheetView workbookViewId="0">
      <selection activeCell="J14" sqref="J14"/>
    </sheetView>
  </sheetViews>
  <sheetFormatPr baseColWidth="10" defaultColWidth="9.1640625" defaultRowHeight="13" x14ac:dyDescent="0.2"/>
  <cols>
    <col min="1" max="16384" width="9.1640625" style="10"/>
  </cols>
  <sheetData>
    <row r="1" spans="1:20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47</v>
      </c>
      <c r="I1" s="11" t="s">
        <v>83</v>
      </c>
      <c r="J1" s="11" t="s">
        <v>85</v>
      </c>
      <c r="K1" s="11" t="s">
        <v>110</v>
      </c>
      <c r="L1" s="11" t="s">
        <v>84</v>
      </c>
      <c r="M1" s="11" t="s">
        <v>111</v>
      </c>
      <c r="N1" s="10" t="s">
        <v>86</v>
      </c>
      <c r="O1" s="10" t="s">
        <v>87</v>
      </c>
      <c r="P1" s="10" t="s">
        <v>88</v>
      </c>
      <c r="Q1" s="10" t="s">
        <v>89</v>
      </c>
      <c r="R1" s="10" t="s">
        <v>90</v>
      </c>
      <c r="S1" s="10" t="s">
        <v>91</v>
      </c>
      <c r="T1" s="10" t="s">
        <v>92</v>
      </c>
    </row>
    <row r="2" spans="1:20" x14ac:dyDescent="0.2">
      <c r="A2" s="10" t="s">
        <v>93</v>
      </c>
      <c r="B2" s="10">
        <v>2019</v>
      </c>
      <c r="C2" s="11">
        <v>0.25</v>
      </c>
      <c r="D2" s="11">
        <v>0.14000000000000001</v>
      </c>
      <c r="E2" s="11">
        <v>0.46</v>
      </c>
      <c r="F2" s="10" t="s">
        <v>20</v>
      </c>
      <c r="G2" s="10" t="s">
        <v>21</v>
      </c>
      <c r="H2" s="10" t="s">
        <v>181</v>
      </c>
      <c r="I2" s="10" t="s">
        <v>97</v>
      </c>
      <c r="J2" s="10">
        <v>14</v>
      </c>
      <c r="K2" s="10">
        <v>220</v>
      </c>
      <c r="L2" s="10">
        <v>47</v>
      </c>
      <c r="M2" s="10">
        <v>203</v>
      </c>
      <c r="N2" s="12" t="s">
        <v>94</v>
      </c>
    </row>
    <row r="3" spans="1:20" x14ac:dyDescent="0.2">
      <c r="A3" s="10" t="s">
        <v>95</v>
      </c>
      <c r="B3" s="10">
        <v>2018</v>
      </c>
      <c r="C3" s="10">
        <v>0.86</v>
      </c>
      <c r="D3" s="10">
        <v>0.6</v>
      </c>
      <c r="E3" s="10">
        <v>1.25</v>
      </c>
      <c r="F3" s="10" t="s">
        <v>20</v>
      </c>
      <c r="G3" s="10" t="s">
        <v>21</v>
      </c>
      <c r="H3" s="10" t="s">
        <v>105</v>
      </c>
      <c r="I3" s="10">
        <v>41.1</v>
      </c>
      <c r="J3" s="10">
        <v>52</v>
      </c>
      <c r="K3" s="10">
        <v>134</v>
      </c>
      <c r="L3" s="10">
        <v>66</v>
      </c>
      <c r="M3" s="10">
        <v>143</v>
      </c>
      <c r="N3" s="10">
        <v>29384722</v>
      </c>
    </row>
    <row r="4" spans="1:20" s="21" customFormat="1" x14ac:dyDescent="0.2">
      <c r="A4" s="21" t="s">
        <v>96</v>
      </c>
      <c r="B4" s="21">
        <v>2023</v>
      </c>
      <c r="C4" s="22">
        <v>0.34</v>
      </c>
      <c r="D4" s="22">
        <v>0.26</v>
      </c>
      <c r="E4" s="22">
        <v>0.45</v>
      </c>
      <c r="F4" s="21" t="s">
        <v>20</v>
      </c>
      <c r="G4" s="21" t="s">
        <v>21</v>
      </c>
      <c r="H4" s="21" t="s">
        <v>181</v>
      </c>
      <c r="I4" s="21" t="s">
        <v>97</v>
      </c>
      <c r="J4" s="21">
        <v>46</v>
      </c>
      <c r="K4" s="21">
        <v>272</v>
      </c>
      <c r="L4" s="21">
        <v>180</v>
      </c>
      <c r="M4" s="21">
        <v>265</v>
      </c>
      <c r="N4" s="21">
        <v>36990608</v>
      </c>
    </row>
    <row r="5" spans="1:20" x14ac:dyDescent="0.2">
      <c r="A5" s="10" t="s">
        <v>98</v>
      </c>
      <c r="B5" s="10">
        <v>2015</v>
      </c>
      <c r="C5" s="10">
        <v>0.81</v>
      </c>
      <c r="D5" s="10">
        <v>0.56999999999999995</v>
      </c>
      <c r="E5" s="10">
        <v>1.1399999999999999</v>
      </c>
      <c r="F5" s="10" t="s">
        <v>20</v>
      </c>
      <c r="G5" s="10" t="s">
        <v>21</v>
      </c>
      <c r="H5" s="10" t="s">
        <v>105</v>
      </c>
      <c r="I5" s="10">
        <v>23.2</v>
      </c>
      <c r="J5" s="10" t="s">
        <v>97</v>
      </c>
      <c r="K5" s="10" t="s">
        <v>97</v>
      </c>
      <c r="L5" s="10" t="s">
        <v>97</v>
      </c>
      <c r="M5" s="10" t="s">
        <v>97</v>
      </c>
      <c r="N5" s="13">
        <v>26610858</v>
      </c>
    </row>
    <row r="6" spans="1:20" x14ac:dyDescent="0.2">
      <c r="A6" s="10" t="s">
        <v>99</v>
      </c>
      <c r="B6" s="14">
        <v>2019</v>
      </c>
      <c r="C6" s="11">
        <v>0.59</v>
      </c>
      <c r="D6" s="11">
        <v>0.4</v>
      </c>
      <c r="E6" s="11">
        <v>0.85</v>
      </c>
      <c r="F6" s="10" t="s">
        <v>20</v>
      </c>
      <c r="G6" s="10" t="s">
        <v>21</v>
      </c>
      <c r="H6" s="10" t="s">
        <v>181</v>
      </c>
      <c r="I6" s="10">
        <v>22.4</v>
      </c>
      <c r="J6" s="10">
        <v>45</v>
      </c>
      <c r="K6" s="10">
        <v>110</v>
      </c>
      <c r="L6" s="10">
        <v>73</v>
      </c>
      <c r="M6" s="10">
        <v>132</v>
      </c>
      <c r="N6" s="10">
        <v>30987939</v>
      </c>
    </row>
    <row r="7" spans="1:20" x14ac:dyDescent="0.2">
      <c r="A7" s="10" t="s">
        <v>100</v>
      </c>
      <c r="B7" s="10">
        <v>2016</v>
      </c>
      <c r="C7" s="10">
        <v>0.62</v>
      </c>
      <c r="D7" s="10">
        <v>0.45</v>
      </c>
      <c r="E7" s="10">
        <v>0.85</v>
      </c>
      <c r="F7" s="10" t="s">
        <v>20</v>
      </c>
      <c r="G7" s="10" t="s">
        <v>21</v>
      </c>
      <c r="H7" s="10" t="s">
        <v>105</v>
      </c>
      <c r="I7" s="10">
        <v>58.7</v>
      </c>
      <c r="J7" s="10">
        <v>120</v>
      </c>
      <c r="K7" s="10">
        <v>272</v>
      </c>
      <c r="L7" s="10">
        <v>329</v>
      </c>
      <c r="M7" s="10">
        <v>558</v>
      </c>
      <c r="N7" s="10">
        <v>31560068</v>
      </c>
    </row>
    <row r="8" spans="1:20" x14ac:dyDescent="0.2">
      <c r="A8" s="10" t="s">
        <v>101</v>
      </c>
      <c r="B8" s="14">
        <v>2019</v>
      </c>
      <c r="C8" s="11">
        <v>0.4</v>
      </c>
      <c r="D8" s="11">
        <v>0.28000000000000003</v>
      </c>
      <c r="E8" s="11">
        <v>0.57999999999999996</v>
      </c>
      <c r="F8" s="10" t="s">
        <v>20</v>
      </c>
      <c r="G8" s="10" t="s">
        <v>21</v>
      </c>
      <c r="H8" s="10" t="s">
        <v>181</v>
      </c>
      <c r="I8" s="10" t="s">
        <v>97</v>
      </c>
      <c r="J8" s="10">
        <v>45</v>
      </c>
      <c r="K8" s="10">
        <v>206</v>
      </c>
      <c r="L8" s="10">
        <v>86</v>
      </c>
      <c r="M8" s="10">
        <v>196</v>
      </c>
      <c r="N8" s="10">
        <v>31447077</v>
      </c>
    </row>
    <row r="9" spans="1:20" x14ac:dyDescent="0.2">
      <c r="A9" s="10" t="s">
        <v>103</v>
      </c>
      <c r="B9" s="10">
        <v>2019</v>
      </c>
      <c r="C9" s="11">
        <v>0.36</v>
      </c>
      <c r="D9" s="11">
        <v>0.22</v>
      </c>
      <c r="E9" s="11">
        <v>0.56999999999999995</v>
      </c>
      <c r="F9" s="10" t="s">
        <v>20</v>
      </c>
      <c r="G9" s="10" t="s">
        <v>21</v>
      </c>
      <c r="H9" s="10" t="s">
        <v>181</v>
      </c>
      <c r="I9" s="10">
        <v>30.5</v>
      </c>
      <c r="J9" s="10">
        <v>25</v>
      </c>
      <c r="K9" s="10">
        <v>200</v>
      </c>
      <c r="L9" s="10">
        <v>58</v>
      </c>
      <c r="M9" s="10">
        <v>192</v>
      </c>
      <c r="N9" s="10">
        <v>31150574</v>
      </c>
    </row>
  </sheetData>
  <conditionalFormatting sqref="N4">
    <cfRule type="duplicateValues" dxfId="89" priority="1"/>
  </conditionalFormatting>
  <conditionalFormatting sqref="N6">
    <cfRule type="duplicateValues" dxfId="88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5115-25B1-4D32-84E2-23DF80E83C2F}">
  <dimension ref="A1:T9"/>
  <sheetViews>
    <sheetView workbookViewId="0">
      <selection activeCell="I29" sqref="I29"/>
    </sheetView>
  </sheetViews>
  <sheetFormatPr baseColWidth="10" defaultColWidth="9.1640625" defaultRowHeight="13" x14ac:dyDescent="0.2"/>
  <cols>
    <col min="1" max="16384" width="9.1640625" style="10"/>
  </cols>
  <sheetData>
    <row r="1" spans="1:20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47</v>
      </c>
      <c r="I1" s="11" t="s">
        <v>83</v>
      </c>
      <c r="J1" s="11" t="s">
        <v>85</v>
      </c>
      <c r="K1" s="11" t="s">
        <v>110</v>
      </c>
      <c r="L1" s="11" t="s">
        <v>84</v>
      </c>
      <c r="M1" s="11" t="s">
        <v>111</v>
      </c>
      <c r="N1" s="10" t="s">
        <v>86</v>
      </c>
      <c r="O1" s="10" t="s">
        <v>87</v>
      </c>
      <c r="P1" s="10" t="s">
        <v>88</v>
      </c>
      <c r="Q1" s="10" t="s">
        <v>89</v>
      </c>
      <c r="R1" s="10" t="s">
        <v>90</v>
      </c>
      <c r="S1" s="10" t="s">
        <v>91</v>
      </c>
      <c r="T1" s="10" t="s">
        <v>92</v>
      </c>
    </row>
    <row r="2" spans="1:20" x14ac:dyDescent="0.2">
      <c r="A2" s="10" t="s">
        <v>93</v>
      </c>
      <c r="B2" s="10">
        <v>2019</v>
      </c>
      <c r="C2" s="11">
        <v>0.43</v>
      </c>
      <c r="D2" s="11">
        <v>0.33</v>
      </c>
      <c r="E2" s="11">
        <v>0.56999999999999995</v>
      </c>
      <c r="F2" s="10" t="s">
        <v>20</v>
      </c>
      <c r="G2" s="10" t="s">
        <v>21</v>
      </c>
      <c r="H2" s="10" t="s">
        <v>181</v>
      </c>
      <c r="I2" s="10" t="s">
        <v>97</v>
      </c>
      <c r="J2" s="10">
        <v>77</v>
      </c>
      <c r="K2" s="10">
        <v>354</v>
      </c>
      <c r="L2" s="10">
        <v>154</v>
      </c>
      <c r="M2" s="10">
        <v>373</v>
      </c>
      <c r="N2" s="12" t="s">
        <v>94</v>
      </c>
    </row>
    <row r="3" spans="1:20" x14ac:dyDescent="0.2">
      <c r="A3" s="10" t="s">
        <v>95</v>
      </c>
      <c r="B3" s="10">
        <v>2018</v>
      </c>
      <c r="C3" s="10">
        <v>0.53</v>
      </c>
      <c r="D3" s="10">
        <v>0.42</v>
      </c>
      <c r="E3" s="10">
        <v>0.67</v>
      </c>
      <c r="F3" s="10" t="s">
        <v>20</v>
      </c>
      <c r="G3" s="10" t="s">
        <v>21</v>
      </c>
      <c r="H3" s="10" t="s">
        <v>105</v>
      </c>
      <c r="I3" s="10">
        <v>12.5</v>
      </c>
      <c r="J3" s="10">
        <v>142</v>
      </c>
      <c r="K3" s="10">
        <v>263</v>
      </c>
      <c r="L3" s="10">
        <v>176</v>
      </c>
      <c r="M3" s="10">
        <v>250</v>
      </c>
      <c r="N3" s="10">
        <v>29384722</v>
      </c>
    </row>
    <row r="4" spans="1:20" s="21" customFormat="1" x14ac:dyDescent="0.2">
      <c r="A4" s="21" t="s">
        <v>96</v>
      </c>
      <c r="B4" s="21">
        <v>2023</v>
      </c>
      <c r="C4" s="22">
        <v>0.51</v>
      </c>
      <c r="D4" s="22">
        <v>0.42</v>
      </c>
      <c r="E4" s="22">
        <v>0.61</v>
      </c>
      <c r="F4" s="21" t="s">
        <v>20</v>
      </c>
      <c r="G4" s="21" t="s">
        <v>21</v>
      </c>
      <c r="H4" s="21" t="s">
        <v>181</v>
      </c>
      <c r="I4" s="21" t="s">
        <v>97</v>
      </c>
      <c r="J4" s="21">
        <v>121</v>
      </c>
      <c r="K4" s="21">
        <v>291</v>
      </c>
      <c r="L4" s="21">
        <v>243</v>
      </c>
      <c r="M4" s="21">
        <v>301</v>
      </c>
      <c r="N4" s="21">
        <v>36990608</v>
      </c>
    </row>
    <row r="5" spans="1:20" x14ac:dyDescent="0.2">
      <c r="A5" s="10" t="s">
        <v>98</v>
      </c>
      <c r="B5" s="10">
        <v>2015</v>
      </c>
      <c r="C5" s="10">
        <v>0.61</v>
      </c>
      <c r="D5" s="10">
        <v>0.44</v>
      </c>
      <c r="E5" s="10">
        <v>0.83</v>
      </c>
      <c r="F5" s="10" t="s">
        <v>20</v>
      </c>
      <c r="G5" s="10" t="s">
        <v>21</v>
      </c>
      <c r="H5" s="10" t="s">
        <v>105</v>
      </c>
      <c r="I5" s="10">
        <v>9.6999999999999993</v>
      </c>
      <c r="J5" s="10" t="s">
        <v>97</v>
      </c>
      <c r="K5" s="10" t="s">
        <v>97</v>
      </c>
      <c r="L5" s="10" t="s">
        <v>97</v>
      </c>
      <c r="M5" s="10" t="s">
        <v>97</v>
      </c>
      <c r="N5" s="13">
        <v>26610858</v>
      </c>
    </row>
    <row r="6" spans="1:20" x14ac:dyDescent="0.2">
      <c r="A6" s="16" t="s">
        <v>99</v>
      </c>
      <c r="B6" s="14">
        <v>2019</v>
      </c>
      <c r="C6" s="16">
        <v>0.46</v>
      </c>
      <c r="D6" s="16">
        <v>0.39</v>
      </c>
      <c r="E6" s="16">
        <v>0.54</v>
      </c>
      <c r="F6" s="10" t="s">
        <v>20</v>
      </c>
      <c r="G6" s="10" t="s">
        <v>21</v>
      </c>
      <c r="H6" s="10" t="s">
        <v>181</v>
      </c>
      <c r="I6" s="10">
        <v>14.7</v>
      </c>
      <c r="J6" s="10">
        <v>257</v>
      </c>
      <c r="K6" s="10">
        <v>487</v>
      </c>
      <c r="L6" s="10">
        <v>308</v>
      </c>
      <c r="M6" s="10">
        <v>468</v>
      </c>
      <c r="N6" s="10">
        <v>30987939</v>
      </c>
    </row>
    <row r="7" spans="1:20" x14ac:dyDescent="0.2">
      <c r="A7" s="10" t="s">
        <v>100</v>
      </c>
      <c r="B7" s="10">
        <v>2016</v>
      </c>
      <c r="C7" s="10">
        <v>0.68</v>
      </c>
      <c r="D7" s="10">
        <v>0.54</v>
      </c>
      <c r="E7" s="10">
        <v>0.85</v>
      </c>
      <c r="F7" s="10" t="s">
        <v>20</v>
      </c>
      <c r="G7" s="10" t="s">
        <v>21</v>
      </c>
      <c r="H7" s="10" t="s">
        <v>105</v>
      </c>
      <c r="I7" s="10">
        <v>27.9</v>
      </c>
      <c r="J7" s="10">
        <v>207</v>
      </c>
      <c r="K7" s="10">
        <v>272</v>
      </c>
      <c r="L7" s="10">
        <v>485</v>
      </c>
      <c r="M7" s="10">
        <v>558</v>
      </c>
      <c r="N7" s="14">
        <v>31560068</v>
      </c>
    </row>
    <row r="8" spans="1:20" x14ac:dyDescent="0.2">
      <c r="A8" s="10" t="s">
        <v>101</v>
      </c>
      <c r="B8" s="14">
        <v>2019</v>
      </c>
      <c r="C8" s="11">
        <v>0.46</v>
      </c>
      <c r="D8" s="11">
        <v>0.36</v>
      </c>
      <c r="E8" s="11">
        <v>0.57999999999999996</v>
      </c>
      <c r="F8" s="10" t="s">
        <v>20</v>
      </c>
      <c r="G8" s="10" t="s">
        <v>21</v>
      </c>
      <c r="H8" s="10" t="s">
        <v>181</v>
      </c>
      <c r="I8" s="10" t="s">
        <v>97</v>
      </c>
      <c r="J8" s="10">
        <v>113</v>
      </c>
      <c r="K8" s="10">
        <v>243</v>
      </c>
      <c r="L8" s="10">
        <v>181</v>
      </c>
      <c r="M8" s="10">
        <v>256</v>
      </c>
      <c r="N8" s="10">
        <v>31447077</v>
      </c>
    </row>
    <row r="9" spans="1:20" x14ac:dyDescent="0.2">
      <c r="A9" s="10" t="s">
        <v>103</v>
      </c>
      <c r="B9" s="10">
        <v>2019</v>
      </c>
      <c r="C9" s="11">
        <v>0.53</v>
      </c>
      <c r="D9" s="11">
        <v>0.41</v>
      </c>
      <c r="E9" s="11">
        <v>0.67</v>
      </c>
      <c r="F9" s="10" t="s">
        <v>20</v>
      </c>
      <c r="G9" s="10" t="s">
        <v>21</v>
      </c>
      <c r="H9" s="10" t="s">
        <v>181</v>
      </c>
      <c r="I9" s="10">
        <v>14.9</v>
      </c>
      <c r="J9" s="10">
        <v>109</v>
      </c>
      <c r="K9" s="10">
        <v>325</v>
      </c>
      <c r="L9" s="10">
        <v>173</v>
      </c>
      <c r="M9" s="10">
        <v>335</v>
      </c>
      <c r="N9" s="10">
        <v>31150574</v>
      </c>
    </row>
  </sheetData>
  <conditionalFormatting sqref="N4">
    <cfRule type="duplicateValues" dxfId="87" priority="1"/>
  </conditionalFormatting>
  <conditionalFormatting sqref="N6">
    <cfRule type="duplicateValues" dxfId="86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A2EFF-C245-4573-B0A3-D5D44FEF845A}">
  <dimension ref="A1:N8"/>
  <sheetViews>
    <sheetView workbookViewId="0">
      <selection activeCell="J12" sqref="J12"/>
    </sheetView>
  </sheetViews>
  <sheetFormatPr baseColWidth="10" defaultColWidth="9.1640625" defaultRowHeight="13" x14ac:dyDescent="0.2"/>
  <cols>
    <col min="1" max="16384" width="9.1640625" style="10"/>
  </cols>
  <sheetData>
    <row r="1" spans="1:14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0" t="s">
        <v>47</v>
      </c>
      <c r="I1" s="11" t="s">
        <v>83</v>
      </c>
      <c r="J1" s="11" t="s">
        <v>85</v>
      </c>
      <c r="K1" s="11" t="s">
        <v>110</v>
      </c>
      <c r="L1" s="11" t="s">
        <v>84</v>
      </c>
      <c r="M1" s="11" t="s">
        <v>111</v>
      </c>
      <c r="N1" s="10" t="s">
        <v>86</v>
      </c>
    </row>
    <row r="2" spans="1:14" x14ac:dyDescent="0.2">
      <c r="A2" s="10" t="s">
        <v>93</v>
      </c>
      <c r="B2" s="10">
        <v>2022</v>
      </c>
      <c r="C2" s="11">
        <v>0.63</v>
      </c>
      <c r="D2" s="11">
        <v>0.5</v>
      </c>
      <c r="E2" s="11">
        <v>0.79</v>
      </c>
      <c r="F2" s="10" t="s">
        <v>20</v>
      </c>
      <c r="G2" s="10" t="s">
        <v>21</v>
      </c>
      <c r="H2" s="10" t="s">
        <v>181</v>
      </c>
      <c r="I2" s="10">
        <v>49.7</v>
      </c>
      <c r="J2" s="10">
        <v>127</v>
      </c>
      <c r="K2" s="10">
        <v>448</v>
      </c>
      <c r="L2" s="10">
        <v>170</v>
      </c>
      <c r="M2" s="10">
        <v>442</v>
      </c>
      <c r="N2" s="10" t="s">
        <v>146</v>
      </c>
    </row>
    <row r="3" spans="1:14" x14ac:dyDescent="0.2">
      <c r="A3" s="10" t="s">
        <v>95</v>
      </c>
      <c r="B3" s="10">
        <v>2018</v>
      </c>
      <c r="C3" s="11">
        <v>0.68</v>
      </c>
      <c r="D3" s="11">
        <v>0.54</v>
      </c>
      <c r="E3" s="11">
        <v>0.85</v>
      </c>
      <c r="F3" s="10" t="s">
        <v>20</v>
      </c>
      <c r="G3" s="10" t="s">
        <v>21</v>
      </c>
      <c r="H3" s="10" t="s">
        <v>105</v>
      </c>
      <c r="I3" s="10" t="s">
        <v>97</v>
      </c>
      <c r="J3" s="10">
        <v>145</v>
      </c>
      <c r="K3" s="10">
        <f>214+75</f>
        <v>289</v>
      </c>
      <c r="L3" s="10">
        <f>141+34</f>
        <v>175</v>
      </c>
      <c r="M3" s="10">
        <f>207+79</f>
        <v>286</v>
      </c>
      <c r="N3" s="10">
        <v>29384722</v>
      </c>
    </row>
    <row r="4" spans="1:14" s="21" customFormat="1" x14ac:dyDescent="0.2">
      <c r="A4" s="21" t="s">
        <v>96</v>
      </c>
      <c r="B4" s="21">
        <v>2023</v>
      </c>
      <c r="C4" s="21">
        <v>0.7</v>
      </c>
      <c r="D4" s="21">
        <v>0.56000000000000005</v>
      </c>
      <c r="E4" s="21">
        <v>0.87</v>
      </c>
      <c r="F4" s="21" t="s">
        <v>20</v>
      </c>
      <c r="G4" s="21" t="s">
        <v>21</v>
      </c>
      <c r="H4" s="21" t="s">
        <v>181</v>
      </c>
      <c r="I4" s="21" t="s">
        <v>97</v>
      </c>
      <c r="J4" s="21">
        <v>140</v>
      </c>
      <c r="K4" s="21">
        <v>335</v>
      </c>
      <c r="L4" s="21">
        <v>183</v>
      </c>
      <c r="M4" s="21">
        <v>348</v>
      </c>
      <c r="N4" s="21">
        <v>36990608</v>
      </c>
    </row>
    <row r="5" spans="1:14" x14ac:dyDescent="0.2">
      <c r="A5" s="10" t="s">
        <v>98</v>
      </c>
      <c r="B5" s="10">
        <v>2015</v>
      </c>
      <c r="C5" s="10">
        <v>0.93</v>
      </c>
      <c r="D5" s="10">
        <v>0.69</v>
      </c>
      <c r="E5" s="10">
        <v>1.25</v>
      </c>
      <c r="F5" s="10" t="s">
        <v>20</v>
      </c>
      <c r="G5" s="10" t="s">
        <v>21</v>
      </c>
      <c r="H5" s="10" t="s">
        <v>105</v>
      </c>
      <c r="I5" s="10">
        <v>41.5</v>
      </c>
      <c r="J5" s="10" t="s">
        <v>97</v>
      </c>
      <c r="K5" s="10" t="s">
        <v>97</v>
      </c>
      <c r="L5" s="10" t="s">
        <v>97</v>
      </c>
      <c r="M5" s="10" t="s">
        <v>97</v>
      </c>
      <c r="N5" s="13">
        <v>26610858</v>
      </c>
    </row>
    <row r="6" spans="1:14" x14ac:dyDescent="0.2">
      <c r="A6" s="16" t="s">
        <v>99</v>
      </c>
      <c r="B6" s="10">
        <v>2019</v>
      </c>
      <c r="C6" s="16">
        <v>0.66</v>
      </c>
      <c r="D6" s="16">
        <v>0.56000000000000005</v>
      </c>
      <c r="E6" s="16">
        <v>0.78</v>
      </c>
      <c r="F6" s="10" t="s">
        <v>20</v>
      </c>
      <c r="G6" s="10" t="s">
        <v>21</v>
      </c>
      <c r="H6" s="10" t="s">
        <v>181</v>
      </c>
      <c r="I6" s="10">
        <v>36.5</v>
      </c>
      <c r="J6" s="10">
        <v>275</v>
      </c>
      <c r="K6" s="10">
        <v>597</v>
      </c>
      <c r="L6" s="10">
        <v>343</v>
      </c>
      <c r="M6" s="10">
        <v>602</v>
      </c>
      <c r="N6" s="10">
        <v>30987939</v>
      </c>
    </row>
    <row r="7" spans="1:14" x14ac:dyDescent="0.2">
      <c r="A7" s="10" t="s">
        <v>101</v>
      </c>
      <c r="B7" s="10">
        <v>2019</v>
      </c>
      <c r="C7" s="10">
        <v>0.59</v>
      </c>
      <c r="D7" s="10">
        <v>0.47</v>
      </c>
      <c r="E7" s="10">
        <v>0.74</v>
      </c>
      <c r="F7" s="10" t="s">
        <v>20</v>
      </c>
      <c r="G7" s="10" t="s">
        <v>21</v>
      </c>
      <c r="H7" s="10" t="s">
        <v>181</v>
      </c>
      <c r="I7" s="10" t="s">
        <v>97</v>
      </c>
      <c r="J7" s="10">
        <v>130</v>
      </c>
      <c r="K7" s="10">
        <v>428</v>
      </c>
      <c r="L7" s="10">
        <v>192</v>
      </c>
      <c r="M7" s="10">
        <v>431</v>
      </c>
      <c r="N7" s="10">
        <v>31447077</v>
      </c>
    </row>
    <row r="8" spans="1:14" x14ac:dyDescent="0.2">
      <c r="A8" s="10" t="s">
        <v>103</v>
      </c>
      <c r="B8" s="10">
        <v>2019</v>
      </c>
      <c r="C8" s="10">
        <v>0.68</v>
      </c>
      <c r="D8" s="10">
        <v>0.55000000000000004</v>
      </c>
      <c r="E8" s="10">
        <v>0.85</v>
      </c>
      <c r="F8" s="10" t="s">
        <v>20</v>
      </c>
      <c r="G8" s="10" t="s">
        <v>21</v>
      </c>
      <c r="H8" s="10" t="s">
        <v>181</v>
      </c>
      <c r="I8" s="10" t="s">
        <v>97</v>
      </c>
      <c r="J8" s="10">
        <v>140</v>
      </c>
      <c r="K8" s="10">
        <v>411</v>
      </c>
      <c r="L8" s="10">
        <v>101</v>
      </c>
      <c r="M8" s="10">
        <v>441</v>
      </c>
      <c r="N8" s="15" t="s">
        <v>147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FA56C-5ECD-4819-95B0-382191870371}">
  <dimension ref="A1:T19"/>
  <sheetViews>
    <sheetView workbookViewId="0">
      <selection activeCell="I16" sqref="I16"/>
    </sheetView>
  </sheetViews>
  <sheetFormatPr baseColWidth="10" defaultColWidth="9.1640625" defaultRowHeight="13" x14ac:dyDescent="0.2"/>
  <cols>
    <col min="1" max="1" width="9.1640625" style="10"/>
    <col min="2" max="5" width="9.33203125" style="10" customWidth="1"/>
    <col min="6" max="11" width="9.1640625" style="10"/>
    <col min="12" max="13" width="9.33203125" style="10" customWidth="1"/>
    <col min="14" max="14" width="10.5" style="10" customWidth="1"/>
    <col min="15" max="16384" width="9.1640625" style="10"/>
  </cols>
  <sheetData>
    <row r="1" spans="1:20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0" t="s">
        <v>47</v>
      </c>
      <c r="I1" s="11" t="s">
        <v>83</v>
      </c>
      <c r="J1" s="11" t="s">
        <v>85</v>
      </c>
      <c r="K1" s="11" t="s">
        <v>110</v>
      </c>
      <c r="L1" s="11" t="s">
        <v>84</v>
      </c>
      <c r="M1" s="11" t="s">
        <v>111</v>
      </c>
      <c r="N1" s="10" t="s">
        <v>86</v>
      </c>
      <c r="O1" s="10" t="s">
        <v>87</v>
      </c>
      <c r="P1" s="10" t="s">
        <v>88</v>
      </c>
      <c r="Q1" s="10" t="s">
        <v>89</v>
      </c>
      <c r="R1" s="10" t="s">
        <v>90</v>
      </c>
      <c r="S1" s="10" t="s">
        <v>91</v>
      </c>
      <c r="T1" s="10" t="s">
        <v>92</v>
      </c>
    </row>
    <row r="2" spans="1:20" x14ac:dyDescent="0.2">
      <c r="A2" s="10" t="s">
        <v>93</v>
      </c>
      <c r="B2" s="10">
        <v>2022</v>
      </c>
      <c r="C2" s="11">
        <v>0.71</v>
      </c>
      <c r="D2" s="11">
        <v>0.41</v>
      </c>
      <c r="E2" s="11">
        <v>1.21</v>
      </c>
      <c r="F2" s="10" t="s">
        <v>20</v>
      </c>
      <c r="G2" s="10" t="s">
        <v>21</v>
      </c>
      <c r="H2" s="10" t="s">
        <v>181</v>
      </c>
      <c r="I2" s="10" t="s">
        <v>97</v>
      </c>
      <c r="J2" s="10">
        <v>24</v>
      </c>
      <c r="K2" s="10">
        <v>117</v>
      </c>
      <c r="L2" s="10">
        <v>31</v>
      </c>
      <c r="M2" s="10">
        <v>129</v>
      </c>
      <c r="N2" s="10" t="s">
        <v>146</v>
      </c>
    </row>
    <row r="3" spans="1:20" x14ac:dyDescent="0.2">
      <c r="A3" s="10" t="s">
        <v>95</v>
      </c>
      <c r="B3" s="10">
        <v>2018</v>
      </c>
      <c r="C3" s="11">
        <v>0.97</v>
      </c>
      <c r="D3" s="11">
        <v>0.57999999999999996</v>
      </c>
      <c r="E3" s="11">
        <v>1.62</v>
      </c>
      <c r="F3" s="10" t="s">
        <v>20</v>
      </c>
      <c r="G3" s="10" t="s">
        <v>21</v>
      </c>
      <c r="H3" s="10" t="s">
        <v>105</v>
      </c>
      <c r="I3" s="10" t="s">
        <v>97</v>
      </c>
      <c r="J3" s="10">
        <v>43</v>
      </c>
      <c r="K3" s="10">
        <f>49+59</f>
        <v>108</v>
      </c>
      <c r="L3" s="10">
        <v>36</v>
      </c>
      <c r="M3" s="10">
        <f>42+64</f>
        <v>106</v>
      </c>
      <c r="N3" s="10">
        <v>29384722</v>
      </c>
    </row>
    <row r="4" spans="1:20" s="21" customFormat="1" x14ac:dyDescent="0.2">
      <c r="A4" s="21" t="s">
        <v>96</v>
      </c>
      <c r="B4" s="21">
        <v>2023</v>
      </c>
      <c r="C4" s="21">
        <v>0.71</v>
      </c>
      <c r="D4" s="21">
        <v>0.52</v>
      </c>
      <c r="E4" s="21">
        <v>0.98</v>
      </c>
      <c r="F4" s="21" t="s">
        <v>20</v>
      </c>
      <c r="G4" s="21" t="s">
        <v>21</v>
      </c>
      <c r="H4" s="21" t="s">
        <v>181</v>
      </c>
      <c r="I4" s="21" t="s">
        <v>97</v>
      </c>
      <c r="J4" s="21">
        <v>68</v>
      </c>
      <c r="K4" s="21">
        <v>228</v>
      </c>
      <c r="L4" s="21">
        <v>85</v>
      </c>
      <c r="M4" s="21">
        <v>214</v>
      </c>
      <c r="N4" s="21">
        <v>36990608</v>
      </c>
    </row>
    <row r="5" spans="1:20" x14ac:dyDescent="0.2">
      <c r="A5" s="10" t="s">
        <v>98</v>
      </c>
      <c r="B5" s="10">
        <v>2015</v>
      </c>
      <c r="C5" s="10">
        <v>0.83</v>
      </c>
      <c r="D5" s="10">
        <v>0.47</v>
      </c>
      <c r="E5" s="10">
        <v>1.47</v>
      </c>
      <c r="F5" s="10" t="s">
        <v>20</v>
      </c>
      <c r="G5" s="10" t="s">
        <v>21</v>
      </c>
      <c r="H5" s="10" t="s">
        <v>105</v>
      </c>
      <c r="I5" s="10">
        <v>69</v>
      </c>
      <c r="J5" s="10" t="s">
        <v>97</v>
      </c>
      <c r="K5" s="10" t="s">
        <v>97</v>
      </c>
      <c r="L5" s="10" t="s">
        <v>97</v>
      </c>
      <c r="M5" s="10" t="s">
        <v>97</v>
      </c>
      <c r="N5" s="13">
        <v>26610858</v>
      </c>
    </row>
    <row r="6" spans="1:20" x14ac:dyDescent="0.2">
      <c r="A6" s="10" t="s">
        <v>103</v>
      </c>
      <c r="B6" s="10">
        <v>2019</v>
      </c>
      <c r="C6" s="10">
        <v>0.39</v>
      </c>
      <c r="D6" s="10">
        <v>0.22</v>
      </c>
      <c r="E6" s="10">
        <v>0.69</v>
      </c>
      <c r="F6" s="10" t="s">
        <v>20</v>
      </c>
      <c r="G6" s="10" t="s">
        <v>21</v>
      </c>
      <c r="H6" s="10" t="s">
        <v>181</v>
      </c>
      <c r="I6" s="10" t="s">
        <v>97</v>
      </c>
      <c r="J6" s="10">
        <v>20</v>
      </c>
      <c r="K6" s="10">
        <v>85</v>
      </c>
      <c r="L6" s="10">
        <v>11</v>
      </c>
      <c r="M6" s="10">
        <v>59</v>
      </c>
      <c r="N6" s="15" t="s">
        <v>147</v>
      </c>
    </row>
    <row r="7" spans="1:20" x14ac:dyDescent="0.2">
      <c r="N7" s="13"/>
    </row>
    <row r="14" spans="1:20" x14ac:dyDescent="0.2">
      <c r="P14" s="12"/>
    </row>
    <row r="16" spans="1:20" x14ac:dyDescent="0.2">
      <c r="P16" s="15"/>
    </row>
    <row r="19" spans="16:16" x14ac:dyDescent="0.2">
      <c r="P19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7"/>
  <sheetViews>
    <sheetView zoomScaleNormal="100" workbookViewId="0">
      <selection activeCell="J1" sqref="J1:M1"/>
    </sheetView>
  </sheetViews>
  <sheetFormatPr baseColWidth="10" defaultColWidth="9.1640625" defaultRowHeight="13" x14ac:dyDescent="0.2"/>
  <cols>
    <col min="1" max="1" width="18.6640625" style="10" customWidth="1"/>
    <col min="2" max="5" width="9.33203125" style="10" customWidth="1"/>
    <col min="6" max="7" width="9.1640625" style="10"/>
    <col min="8" max="8" width="9.33203125" style="10" customWidth="1"/>
    <col min="9" max="11" width="9.1640625" style="10"/>
    <col min="12" max="13" width="9.33203125" style="10" customWidth="1"/>
    <col min="14" max="14" width="13.1640625" style="10" customWidth="1"/>
    <col min="15" max="16384" width="9.1640625" style="10"/>
  </cols>
  <sheetData>
    <row r="1" spans="1:21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47</v>
      </c>
      <c r="I1" s="11" t="s">
        <v>83</v>
      </c>
      <c r="J1" s="11" t="s">
        <v>85</v>
      </c>
      <c r="K1" s="11" t="s">
        <v>110</v>
      </c>
      <c r="L1" s="11" t="s">
        <v>84</v>
      </c>
      <c r="M1" s="11" t="s">
        <v>111</v>
      </c>
      <c r="N1" s="10" t="s">
        <v>86</v>
      </c>
      <c r="O1" s="10" t="s">
        <v>87</v>
      </c>
      <c r="P1" s="10" t="s">
        <v>88</v>
      </c>
      <c r="Q1" s="10" t="s">
        <v>89</v>
      </c>
      <c r="R1" s="10" t="s">
        <v>90</v>
      </c>
      <c r="S1" s="10" t="s">
        <v>91</v>
      </c>
      <c r="T1" s="10" t="s">
        <v>92</v>
      </c>
    </row>
    <row r="2" spans="1:21" x14ac:dyDescent="0.2">
      <c r="A2" s="10" t="s">
        <v>93</v>
      </c>
      <c r="B2" s="10">
        <v>2022</v>
      </c>
      <c r="C2" s="11">
        <v>0.66</v>
      </c>
      <c r="D2" s="11">
        <v>0.43</v>
      </c>
      <c r="E2" s="11">
        <v>1.03</v>
      </c>
      <c r="F2" s="10" t="s">
        <v>20</v>
      </c>
      <c r="G2" s="10" t="s">
        <v>21</v>
      </c>
      <c r="H2" s="10" t="s">
        <v>106</v>
      </c>
      <c r="I2" s="10" t="s">
        <v>97</v>
      </c>
      <c r="J2" s="10">
        <v>35</v>
      </c>
      <c r="K2" s="10">
        <v>220</v>
      </c>
      <c r="L2" s="10">
        <v>46</v>
      </c>
      <c r="M2" s="10">
        <v>203</v>
      </c>
      <c r="N2" s="19">
        <v>35420921</v>
      </c>
    </row>
    <row r="3" spans="1:21" x14ac:dyDescent="0.2">
      <c r="A3" s="10" t="s">
        <v>95</v>
      </c>
      <c r="B3" s="10">
        <v>2018</v>
      </c>
      <c r="C3" s="10">
        <v>1.04</v>
      </c>
      <c r="D3" s="10">
        <v>0.7</v>
      </c>
      <c r="E3" s="10">
        <v>1.55</v>
      </c>
      <c r="F3" s="10" t="s">
        <v>20</v>
      </c>
      <c r="G3" s="10" t="s">
        <v>21</v>
      </c>
      <c r="H3" s="10" t="s">
        <v>106</v>
      </c>
      <c r="I3" s="10">
        <v>22.7</v>
      </c>
      <c r="J3" s="10">
        <v>67</v>
      </c>
      <c r="K3" s="10">
        <v>134</v>
      </c>
      <c r="L3" s="10">
        <v>90</v>
      </c>
      <c r="M3" s="10">
        <v>143</v>
      </c>
      <c r="N3" s="10">
        <v>29384722</v>
      </c>
    </row>
    <row r="4" spans="1:21" s="21" customFormat="1" x14ac:dyDescent="0.2">
      <c r="A4" s="21" t="s">
        <v>96</v>
      </c>
      <c r="B4" s="21">
        <v>2023</v>
      </c>
      <c r="C4" s="22">
        <v>0.54</v>
      </c>
      <c r="D4" s="22">
        <v>0.39</v>
      </c>
      <c r="E4" s="22">
        <v>0.74</v>
      </c>
      <c r="F4" s="21" t="s">
        <v>20</v>
      </c>
      <c r="G4" s="21" t="s">
        <v>21</v>
      </c>
      <c r="H4" s="21" t="s">
        <v>106</v>
      </c>
      <c r="I4" s="21" t="s">
        <v>97</v>
      </c>
      <c r="J4" s="21">
        <v>59</v>
      </c>
      <c r="K4" s="21">
        <v>262</v>
      </c>
      <c r="L4" s="21">
        <v>97</v>
      </c>
      <c r="M4" s="21">
        <v>261</v>
      </c>
      <c r="N4" s="21">
        <v>36990608</v>
      </c>
      <c r="O4" s="21">
        <v>31157964</v>
      </c>
    </row>
    <row r="5" spans="1:21" x14ac:dyDescent="0.2">
      <c r="A5" s="10" t="s">
        <v>98</v>
      </c>
      <c r="B5" s="14">
        <v>2015</v>
      </c>
      <c r="C5" s="11">
        <v>1.02</v>
      </c>
      <c r="D5" s="11">
        <v>0.67</v>
      </c>
      <c r="E5" s="11">
        <v>1.55</v>
      </c>
      <c r="F5" s="10" t="s">
        <v>20</v>
      </c>
      <c r="G5" s="10" t="s">
        <v>21</v>
      </c>
      <c r="H5" s="10" t="s">
        <v>106</v>
      </c>
      <c r="I5" s="10">
        <v>83.4</v>
      </c>
      <c r="J5" s="10" t="s">
        <v>97</v>
      </c>
      <c r="K5" s="10" t="s">
        <v>97</v>
      </c>
      <c r="L5" s="10" t="s">
        <v>97</v>
      </c>
      <c r="M5" s="10" t="s">
        <v>97</v>
      </c>
      <c r="N5" s="13">
        <v>26610858</v>
      </c>
    </row>
    <row r="6" spans="1:21" x14ac:dyDescent="0.2">
      <c r="A6" s="10" t="s">
        <v>99</v>
      </c>
      <c r="B6" s="14">
        <v>2019</v>
      </c>
      <c r="C6" s="16">
        <v>0.72</v>
      </c>
      <c r="D6" s="16">
        <v>0.47</v>
      </c>
      <c r="E6" s="16">
        <v>1.1000000000000001</v>
      </c>
      <c r="F6" s="10" t="s">
        <v>20</v>
      </c>
      <c r="G6" s="10" t="s">
        <v>21</v>
      </c>
      <c r="H6" s="10" t="s">
        <v>106</v>
      </c>
      <c r="I6" s="10" t="s">
        <v>97</v>
      </c>
      <c r="J6" s="10">
        <v>34</v>
      </c>
      <c r="K6" s="10">
        <v>110</v>
      </c>
      <c r="L6" s="10">
        <v>54</v>
      </c>
      <c r="M6" s="10">
        <v>133</v>
      </c>
      <c r="N6" s="10">
        <v>30987939</v>
      </c>
    </row>
    <row r="7" spans="1:21" x14ac:dyDescent="0.2">
      <c r="A7" s="10" t="s">
        <v>100</v>
      </c>
      <c r="B7" s="10">
        <v>2016</v>
      </c>
      <c r="C7" s="10">
        <v>0.76</v>
      </c>
      <c r="D7" s="10">
        <v>0.54</v>
      </c>
      <c r="E7" s="10">
        <v>1.07</v>
      </c>
      <c r="F7" s="10" t="s">
        <v>20</v>
      </c>
      <c r="G7" s="10" t="s">
        <v>21</v>
      </c>
      <c r="H7" s="10" t="s">
        <v>106</v>
      </c>
      <c r="I7" s="10">
        <v>75.8</v>
      </c>
      <c r="J7" s="10">
        <v>35</v>
      </c>
      <c r="K7" s="10">
        <v>124</v>
      </c>
      <c r="L7" s="10">
        <f>238-136</f>
        <v>102</v>
      </c>
      <c r="M7" s="10">
        <v>238</v>
      </c>
      <c r="N7" s="10">
        <v>31560068</v>
      </c>
    </row>
    <row r="8" spans="1:21" s="21" customFormat="1" x14ac:dyDescent="0.2">
      <c r="A8" s="21" t="s">
        <v>101</v>
      </c>
      <c r="B8" s="21">
        <v>2023</v>
      </c>
      <c r="C8" s="22">
        <v>0.57999999999999996</v>
      </c>
      <c r="D8" s="22">
        <v>0.44</v>
      </c>
      <c r="E8" s="22">
        <v>0.75</v>
      </c>
      <c r="F8" s="21" t="s">
        <v>20</v>
      </c>
      <c r="G8" s="21" t="s">
        <v>21</v>
      </c>
      <c r="H8" s="21" t="s">
        <v>106</v>
      </c>
      <c r="I8" s="21" t="s">
        <v>97</v>
      </c>
      <c r="J8" s="21">
        <v>96</v>
      </c>
      <c r="K8" s="21">
        <v>222</v>
      </c>
      <c r="L8" s="21">
        <v>130</v>
      </c>
      <c r="M8" s="21">
        <v>204</v>
      </c>
      <c r="N8" s="23">
        <v>37142371</v>
      </c>
      <c r="U8" s="23" t="s">
        <v>104</v>
      </c>
    </row>
    <row r="9" spans="1:21" x14ac:dyDescent="0.2">
      <c r="A9" s="10" t="s">
        <v>103</v>
      </c>
      <c r="B9" s="10">
        <v>2021</v>
      </c>
      <c r="C9" s="11">
        <v>0.52</v>
      </c>
      <c r="D9" s="11">
        <v>0.35</v>
      </c>
      <c r="E9" s="11">
        <v>0.79</v>
      </c>
      <c r="F9" s="10" t="s">
        <v>20</v>
      </c>
      <c r="G9" s="10" t="s">
        <v>21</v>
      </c>
      <c r="H9" s="10" t="s">
        <v>106</v>
      </c>
      <c r="I9" s="10" t="s">
        <v>97</v>
      </c>
      <c r="J9" s="10">
        <v>36</v>
      </c>
      <c r="K9" s="10">
        <v>200</v>
      </c>
      <c r="L9" s="10">
        <v>60</v>
      </c>
      <c r="M9" s="10">
        <v>192</v>
      </c>
      <c r="N9" s="15" t="s">
        <v>147</v>
      </c>
      <c r="O9" s="15"/>
    </row>
    <row r="10" spans="1:21" x14ac:dyDescent="0.2">
      <c r="A10" s="10" t="s">
        <v>93</v>
      </c>
      <c r="B10" s="10">
        <v>2022</v>
      </c>
      <c r="C10" s="11">
        <v>0.66</v>
      </c>
      <c r="D10" s="11">
        <v>0.52</v>
      </c>
      <c r="E10" s="11">
        <v>0.83</v>
      </c>
      <c r="F10" s="10" t="s">
        <v>20</v>
      </c>
      <c r="G10" s="10" t="s">
        <v>21</v>
      </c>
      <c r="H10" s="10" t="s">
        <v>107</v>
      </c>
      <c r="I10" s="10">
        <v>45.9</v>
      </c>
      <c r="J10" s="10">
        <v>119</v>
      </c>
      <c r="K10" s="10">
        <v>354</v>
      </c>
      <c r="L10" s="10">
        <v>156</v>
      </c>
      <c r="M10" s="10">
        <v>373</v>
      </c>
      <c r="N10" s="10" t="s">
        <v>146</v>
      </c>
    </row>
    <row r="11" spans="1:21" x14ac:dyDescent="0.2">
      <c r="A11" s="10" t="s">
        <v>95</v>
      </c>
      <c r="B11" s="10">
        <v>2018</v>
      </c>
      <c r="C11" s="10">
        <v>0.63</v>
      </c>
      <c r="D11" s="10">
        <v>0.5</v>
      </c>
      <c r="E11" s="10">
        <v>0.79</v>
      </c>
      <c r="F11" s="10" t="s">
        <v>20</v>
      </c>
      <c r="G11" s="10" t="s">
        <v>21</v>
      </c>
      <c r="H11" s="10" t="s">
        <v>107</v>
      </c>
      <c r="I11" s="10">
        <v>34.4</v>
      </c>
      <c r="J11" s="10">
        <v>137</v>
      </c>
      <c r="K11" s="10">
        <v>263</v>
      </c>
      <c r="L11" s="10">
        <v>162</v>
      </c>
      <c r="M11" s="10">
        <v>250</v>
      </c>
      <c r="N11" s="10">
        <v>29384722</v>
      </c>
    </row>
    <row r="12" spans="1:21" s="21" customFormat="1" x14ac:dyDescent="0.2">
      <c r="A12" s="21" t="s">
        <v>96</v>
      </c>
      <c r="B12" s="21">
        <v>2023</v>
      </c>
      <c r="C12" s="22">
        <v>0.79</v>
      </c>
      <c r="D12" s="22">
        <v>0.63</v>
      </c>
      <c r="E12" s="22">
        <v>0.98</v>
      </c>
      <c r="F12" s="21" t="s">
        <v>20</v>
      </c>
      <c r="G12" s="21" t="s">
        <v>21</v>
      </c>
      <c r="H12" s="21" t="s">
        <v>107</v>
      </c>
      <c r="I12" s="21" t="s">
        <v>97</v>
      </c>
      <c r="J12" s="21">
        <v>149</v>
      </c>
      <c r="K12" s="21">
        <v>301</v>
      </c>
      <c r="L12" s="21">
        <v>171</v>
      </c>
      <c r="M12" s="21">
        <v>301</v>
      </c>
      <c r="N12" s="21">
        <v>36990608</v>
      </c>
    </row>
    <row r="13" spans="1:21" x14ac:dyDescent="0.2">
      <c r="A13" s="10" t="s">
        <v>98</v>
      </c>
      <c r="B13" s="10">
        <v>2015</v>
      </c>
      <c r="C13" s="10">
        <v>0.78</v>
      </c>
      <c r="D13" s="10">
        <v>0.56000000000000005</v>
      </c>
      <c r="E13" s="10">
        <v>1.0900000000000001</v>
      </c>
      <c r="F13" s="10" t="s">
        <v>20</v>
      </c>
      <c r="G13" s="10" t="s">
        <v>21</v>
      </c>
      <c r="H13" s="10" t="s">
        <v>107</v>
      </c>
      <c r="I13" s="10">
        <v>35.1</v>
      </c>
      <c r="J13" s="10" t="s">
        <v>97</v>
      </c>
      <c r="K13" s="10" t="s">
        <v>97</v>
      </c>
      <c r="L13" s="10" t="s">
        <v>97</v>
      </c>
      <c r="M13" s="10" t="s">
        <v>97</v>
      </c>
      <c r="N13" s="13">
        <v>26610858</v>
      </c>
    </row>
    <row r="14" spans="1:21" x14ac:dyDescent="0.2">
      <c r="A14" s="16" t="s">
        <v>99</v>
      </c>
      <c r="B14" s="14">
        <v>2019</v>
      </c>
      <c r="C14" s="16">
        <v>0.62</v>
      </c>
      <c r="D14" s="16">
        <v>0.52</v>
      </c>
      <c r="E14" s="16">
        <v>0.74</v>
      </c>
      <c r="F14" s="10" t="s">
        <v>20</v>
      </c>
      <c r="G14" s="10" t="s">
        <v>21</v>
      </c>
      <c r="H14" s="10" t="s">
        <v>107</v>
      </c>
      <c r="I14" s="10" t="s">
        <v>97</v>
      </c>
      <c r="J14" s="10">
        <v>241</v>
      </c>
      <c r="K14" s="10">
        <v>487</v>
      </c>
      <c r="L14" s="10">
        <v>289</v>
      </c>
      <c r="M14" s="10">
        <v>468</v>
      </c>
      <c r="N14" s="10">
        <v>30987939</v>
      </c>
    </row>
    <row r="15" spans="1:21" x14ac:dyDescent="0.2">
      <c r="A15" s="10" t="s">
        <v>100</v>
      </c>
      <c r="B15" s="10">
        <v>2016</v>
      </c>
      <c r="C15" s="10">
        <v>0.81</v>
      </c>
      <c r="D15" s="10">
        <v>0.64</v>
      </c>
      <c r="E15" s="10">
        <v>1.02</v>
      </c>
      <c r="F15" s="10" t="s">
        <v>20</v>
      </c>
      <c r="G15" s="10" t="s">
        <v>21</v>
      </c>
      <c r="H15" s="10" t="s">
        <v>107</v>
      </c>
      <c r="I15" s="10">
        <v>44.8</v>
      </c>
      <c r="J15" s="30">
        <v>116</v>
      </c>
      <c r="K15" s="30">
        <v>196</v>
      </c>
      <c r="L15" s="30">
        <v>153</v>
      </c>
      <c r="M15" s="30">
        <v>209</v>
      </c>
      <c r="N15" s="14">
        <v>31560068</v>
      </c>
    </row>
    <row r="16" spans="1:21" s="21" customFormat="1" x14ac:dyDescent="0.2">
      <c r="A16" s="21" t="s">
        <v>101</v>
      </c>
      <c r="B16" s="21">
        <v>2023</v>
      </c>
      <c r="C16" s="22">
        <v>0.66</v>
      </c>
      <c r="D16" s="22">
        <v>0.54</v>
      </c>
      <c r="E16" s="22">
        <v>0.81</v>
      </c>
      <c r="F16" s="21" t="s">
        <v>20</v>
      </c>
      <c r="G16" s="21" t="s">
        <v>21</v>
      </c>
      <c r="H16" s="21" t="s">
        <v>107</v>
      </c>
      <c r="I16" s="21" t="s">
        <v>97</v>
      </c>
      <c r="J16" s="21">
        <v>184</v>
      </c>
      <c r="K16" s="21">
        <v>253</v>
      </c>
      <c r="L16" s="21">
        <v>221</v>
      </c>
      <c r="M16" s="21">
        <v>271</v>
      </c>
      <c r="N16" s="23">
        <v>37142371</v>
      </c>
      <c r="U16" s="23" t="s">
        <v>104</v>
      </c>
    </row>
    <row r="17" spans="1:15" x14ac:dyDescent="0.2">
      <c r="A17" s="10" t="s">
        <v>103</v>
      </c>
      <c r="B17" s="10">
        <v>2021</v>
      </c>
      <c r="C17" s="11">
        <v>0.7</v>
      </c>
      <c r="D17" s="11">
        <v>0.56000000000000005</v>
      </c>
      <c r="E17" s="11">
        <v>0.88</v>
      </c>
      <c r="F17" s="10" t="s">
        <v>20</v>
      </c>
      <c r="G17" s="10" t="s">
        <v>21</v>
      </c>
      <c r="H17" s="10" t="s">
        <v>107</v>
      </c>
      <c r="I17" s="10" t="s">
        <v>97</v>
      </c>
      <c r="J17" s="10">
        <v>134</v>
      </c>
      <c r="K17" s="10">
        <v>325</v>
      </c>
      <c r="L17" s="10">
        <v>175</v>
      </c>
      <c r="M17" s="10">
        <v>335</v>
      </c>
      <c r="N17" s="15" t="s">
        <v>147</v>
      </c>
      <c r="O17" s="15">
        <v>31150574</v>
      </c>
    </row>
  </sheetData>
  <conditionalFormatting sqref="N4">
    <cfRule type="duplicateValues" dxfId="85" priority="1"/>
  </conditionalFormatting>
  <conditionalFormatting sqref="N5">
    <cfRule type="duplicateValues" dxfId="84" priority="5"/>
  </conditionalFormatting>
  <conditionalFormatting sqref="N6">
    <cfRule type="duplicateValues" dxfId="83" priority="4"/>
  </conditionalFormatting>
  <conditionalFormatting sqref="N12">
    <cfRule type="duplicateValues" dxfId="82" priority="2"/>
  </conditionalFormatting>
  <conditionalFormatting sqref="N13">
    <cfRule type="duplicateValues" dxfId="81" priority="7"/>
  </conditionalFormatting>
  <conditionalFormatting sqref="N14">
    <cfRule type="duplicateValues" dxfId="80" priority="6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7"/>
  <sheetViews>
    <sheetView topLeftCell="J1" zoomScaleNormal="100" workbookViewId="0">
      <selection activeCell="J1" sqref="J1:M1"/>
    </sheetView>
  </sheetViews>
  <sheetFormatPr baseColWidth="10" defaultColWidth="9.1640625" defaultRowHeight="13" x14ac:dyDescent="0.2"/>
  <cols>
    <col min="1" max="1" width="18.6640625" style="10" customWidth="1"/>
    <col min="2" max="5" width="9.33203125" style="10" customWidth="1"/>
    <col min="6" max="7" width="9.1640625" style="10"/>
    <col min="8" max="13" width="9.33203125" style="10" customWidth="1"/>
    <col min="14" max="14" width="10.83203125" style="10" customWidth="1"/>
    <col min="15" max="16384" width="9.1640625" style="10"/>
  </cols>
  <sheetData>
    <row r="1" spans="1:20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47</v>
      </c>
      <c r="I1" s="11" t="s">
        <v>83</v>
      </c>
      <c r="J1" s="11" t="s">
        <v>85</v>
      </c>
      <c r="K1" s="11" t="s">
        <v>110</v>
      </c>
      <c r="L1" s="11" t="s">
        <v>84</v>
      </c>
      <c r="M1" s="11" t="s">
        <v>111</v>
      </c>
      <c r="N1" s="10" t="s">
        <v>86</v>
      </c>
      <c r="O1" s="10" t="s">
        <v>87</v>
      </c>
      <c r="P1" s="10" t="s">
        <v>88</v>
      </c>
      <c r="Q1" s="10" t="s">
        <v>89</v>
      </c>
      <c r="R1" s="10" t="s">
        <v>90</v>
      </c>
      <c r="S1" s="10" t="s">
        <v>91</v>
      </c>
      <c r="T1" s="10" t="s">
        <v>92</v>
      </c>
    </row>
    <row r="2" spans="1:20" x14ac:dyDescent="0.2">
      <c r="A2" s="10" t="s">
        <v>93</v>
      </c>
      <c r="B2" s="10">
        <v>2019</v>
      </c>
      <c r="C2" s="11">
        <v>0.25</v>
      </c>
      <c r="D2" s="11">
        <v>0.14000000000000001</v>
      </c>
      <c r="E2" s="11">
        <v>0.46</v>
      </c>
      <c r="F2" s="10" t="s">
        <v>20</v>
      </c>
      <c r="G2" s="10" t="s">
        <v>21</v>
      </c>
      <c r="H2" s="10" t="s">
        <v>106</v>
      </c>
      <c r="I2" s="10" t="s">
        <v>97</v>
      </c>
      <c r="J2" s="10">
        <v>14</v>
      </c>
      <c r="K2" s="10">
        <v>220</v>
      </c>
      <c r="L2" s="10">
        <v>47</v>
      </c>
      <c r="M2" s="10">
        <v>203</v>
      </c>
      <c r="N2" s="12" t="s">
        <v>94</v>
      </c>
    </row>
    <row r="3" spans="1:20" x14ac:dyDescent="0.2">
      <c r="A3" s="10" t="s">
        <v>95</v>
      </c>
      <c r="B3" s="10">
        <v>2018</v>
      </c>
      <c r="C3" s="10">
        <v>0.86</v>
      </c>
      <c r="D3" s="10">
        <v>0.6</v>
      </c>
      <c r="E3" s="10">
        <v>1.25</v>
      </c>
      <c r="F3" s="10" t="s">
        <v>20</v>
      </c>
      <c r="G3" s="10" t="s">
        <v>21</v>
      </c>
      <c r="H3" s="10" t="s">
        <v>106</v>
      </c>
      <c r="I3" s="10">
        <v>41.1</v>
      </c>
      <c r="J3" s="10">
        <v>52</v>
      </c>
      <c r="K3" s="10">
        <v>134</v>
      </c>
      <c r="L3" s="10">
        <v>66</v>
      </c>
      <c r="M3" s="10">
        <v>143</v>
      </c>
      <c r="N3" s="10">
        <v>29384722</v>
      </c>
    </row>
    <row r="4" spans="1:20" s="21" customFormat="1" x14ac:dyDescent="0.2">
      <c r="A4" s="21" t="s">
        <v>96</v>
      </c>
      <c r="B4" s="21">
        <v>2023</v>
      </c>
      <c r="C4" s="22">
        <v>0.34</v>
      </c>
      <c r="D4" s="22">
        <v>0.26</v>
      </c>
      <c r="E4" s="22">
        <v>0.45</v>
      </c>
      <c r="F4" s="21" t="s">
        <v>20</v>
      </c>
      <c r="G4" s="21" t="s">
        <v>21</v>
      </c>
      <c r="H4" s="21" t="s">
        <v>106</v>
      </c>
      <c r="I4" s="21" t="s">
        <v>97</v>
      </c>
      <c r="J4" s="21">
        <v>46</v>
      </c>
      <c r="K4" s="21">
        <v>272</v>
      </c>
      <c r="L4" s="21">
        <v>180</v>
      </c>
      <c r="M4" s="21">
        <v>265</v>
      </c>
      <c r="N4" s="21">
        <v>36990608</v>
      </c>
    </row>
    <row r="5" spans="1:20" x14ac:dyDescent="0.2">
      <c r="A5" s="10" t="s">
        <v>98</v>
      </c>
      <c r="B5" s="10">
        <v>2015</v>
      </c>
      <c r="C5" s="10">
        <v>0.81</v>
      </c>
      <c r="D5" s="10">
        <v>0.56999999999999995</v>
      </c>
      <c r="E5" s="10">
        <v>1.1399999999999999</v>
      </c>
      <c r="F5" s="10" t="s">
        <v>20</v>
      </c>
      <c r="G5" s="10" t="s">
        <v>21</v>
      </c>
      <c r="H5" s="10" t="s">
        <v>106</v>
      </c>
      <c r="I5" s="10">
        <v>23.2</v>
      </c>
      <c r="J5" s="10" t="s">
        <v>97</v>
      </c>
      <c r="K5" s="10" t="s">
        <v>97</v>
      </c>
      <c r="L5" s="10" t="s">
        <v>97</v>
      </c>
      <c r="M5" s="10" t="s">
        <v>97</v>
      </c>
      <c r="N5" s="13">
        <v>26610858</v>
      </c>
    </row>
    <row r="6" spans="1:20" x14ac:dyDescent="0.2">
      <c r="A6" s="10" t="s">
        <v>99</v>
      </c>
      <c r="B6" s="14">
        <v>2019</v>
      </c>
      <c r="C6" s="11">
        <v>0.59</v>
      </c>
      <c r="D6" s="11">
        <v>0.4</v>
      </c>
      <c r="E6" s="11">
        <v>0.85</v>
      </c>
      <c r="F6" s="10" t="s">
        <v>20</v>
      </c>
      <c r="G6" s="10" t="s">
        <v>21</v>
      </c>
      <c r="H6" s="10" t="s">
        <v>106</v>
      </c>
      <c r="I6" s="10">
        <v>22.4</v>
      </c>
      <c r="J6" s="10">
        <v>45</v>
      </c>
      <c r="K6" s="10">
        <v>110</v>
      </c>
      <c r="L6" s="10">
        <v>73</v>
      </c>
      <c r="M6" s="10">
        <v>132</v>
      </c>
      <c r="N6" s="10">
        <v>30987939</v>
      </c>
    </row>
    <row r="7" spans="1:20" x14ac:dyDescent="0.2">
      <c r="A7" s="10" t="s">
        <v>100</v>
      </c>
      <c r="B7" s="10">
        <v>2016</v>
      </c>
      <c r="C7" s="10">
        <v>0.62</v>
      </c>
      <c r="D7" s="10">
        <v>0.45</v>
      </c>
      <c r="E7" s="10">
        <v>0.85</v>
      </c>
      <c r="F7" s="10" t="s">
        <v>20</v>
      </c>
      <c r="G7" s="10" t="s">
        <v>21</v>
      </c>
      <c r="H7" s="10" t="s">
        <v>106</v>
      </c>
      <c r="I7" s="10">
        <v>58.7</v>
      </c>
      <c r="J7" s="10">
        <v>120</v>
      </c>
      <c r="K7" s="10">
        <v>272</v>
      </c>
      <c r="L7" s="10">
        <v>329</v>
      </c>
      <c r="M7" s="10">
        <v>558</v>
      </c>
      <c r="N7" s="10">
        <v>31560068</v>
      </c>
    </row>
    <row r="8" spans="1:20" x14ac:dyDescent="0.2">
      <c r="A8" s="10" t="s">
        <v>101</v>
      </c>
      <c r="B8" s="14">
        <v>2019</v>
      </c>
      <c r="C8" s="11">
        <v>0.4</v>
      </c>
      <c r="D8" s="11">
        <v>0.28000000000000003</v>
      </c>
      <c r="E8" s="11">
        <v>0.57999999999999996</v>
      </c>
      <c r="F8" s="10" t="s">
        <v>20</v>
      </c>
      <c r="G8" s="10" t="s">
        <v>21</v>
      </c>
      <c r="H8" s="10" t="s">
        <v>106</v>
      </c>
      <c r="I8" s="10" t="s">
        <v>97</v>
      </c>
      <c r="J8" s="10">
        <v>45</v>
      </c>
      <c r="K8" s="10">
        <v>206</v>
      </c>
      <c r="L8" s="10">
        <v>86</v>
      </c>
      <c r="M8" s="10">
        <v>196</v>
      </c>
      <c r="N8" s="10">
        <v>31447077</v>
      </c>
    </row>
    <row r="9" spans="1:20" x14ac:dyDescent="0.2">
      <c r="A9" s="10" t="s">
        <v>103</v>
      </c>
      <c r="B9" s="10">
        <v>2019</v>
      </c>
      <c r="C9" s="11">
        <v>0.36</v>
      </c>
      <c r="D9" s="11">
        <v>0.22</v>
      </c>
      <c r="E9" s="11">
        <v>0.56999999999999995</v>
      </c>
      <c r="F9" s="10" t="s">
        <v>20</v>
      </c>
      <c r="G9" s="10" t="s">
        <v>21</v>
      </c>
      <c r="H9" s="10" t="s">
        <v>106</v>
      </c>
      <c r="I9" s="10">
        <v>30.5</v>
      </c>
      <c r="J9" s="10">
        <v>25</v>
      </c>
      <c r="K9" s="10">
        <v>200</v>
      </c>
      <c r="L9" s="10">
        <v>58</v>
      </c>
      <c r="M9" s="10">
        <v>192</v>
      </c>
      <c r="N9" s="10">
        <v>31150574</v>
      </c>
    </row>
    <row r="10" spans="1:20" x14ac:dyDescent="0.2">
      <c r="A10" s="10" t="s">
        <v>93</v>
      </c>
      <c r="B10" s="10">
        <v>2019</v>
      </c>
      <c r="C10" s="11">
        <v>0.43</v>
      </c>
      <c r="D10" s="11">
        <v>0.33</v>
      </c>
      <c r="E10" s="11">
        <v>0.56999999999999995</v>
      </c>
      <c r="F10" s="10" t="s">
        <v>20</v>
      </c>
      <c r="G10" s="10" t="s">
        <v>21</v>
      </c>
      <c r="H10" s="10" t="s">
        <v>107</v>
      </c>
      <c r="I10" s="10" t="s">
        <v>97</v>
      </c>
      <c r="J10" s="10">
        <v>77</v>
      </c>
      <c r="K10" s="10">
        <v>354</v>
      </c>
      <c r="L10" s="10">
        <v>154</v>
      </c>
      <c r="M10" s="10">
        <v>373</v>
      </c>
      <c r="N10" s="12" t="s">
        <v>94</v>
      </c>
    </row>
    <row r="11" spans="1:20" x14ac:dyDescent="0.2">
      <c r="A11" s="10" t="s">
        <v>95</v>
      </c>
      <c r="B11" s="10">
        <v>2018</v>
      </c>
      <c r="C11" s="10">
        <v>0.53</v>
      </c>
      <c r="D11" s="10">
        <v>0.42</v>
      </c>
      <c r="E11" s="10">
        <v>0.67</v>
      </c>
      <c r="F11" s="10" t="s">
        <v>20</v>
      </c>
      <c r="G11" s="10" t="s">
        <v>21</v>
      </c>
      <c r="H11" s="10" t="s">
        <v>107</v>
      </c>
      <c r="I11" s="10">
        <v>12.5</v>
      </c>
      <c r="J11" s="10">
        <v>142</v>
      </c>
      <c r="K11" s="10">
        <v>263</v>
      </c>
      <c r="L11" s="10">
        <v>176</v>
      </c>
      <c r="M11" s="10">
        <v>250</v>
      </c>
      <c r="N11" s="10">
        <v>29384722</v>
      </c>
    </row>
    <row r="12" spans="1:20" s="21" customFormat="1" x14ac:dyDescent="0.2">
      <c r="A12" s="21" t="s">
        <v>96</v>
      </c>
      <c r="B12" s="21">
        <v>2023</v>
      </c>
      <c r="C12" s="22">
        <v>0.51</v>
      </c>
      <c r="D12" s="22">
        <v>0.42</v>
      </c>
      <c r="E12" s="22">
        <v>0.61</v>
      </c>
      <c r="F12" s="21" t="s">
        <v>20</v>
      </c>
      <c r="G12" s="21" t="s">
        <v>21</v>
      </c>
      <c r="H12" s="21" t="s">
        <v>107</v>
      </c>
      <c r="I12" s="21" t="s">
        <v>97</v>
      </c>
      <c r="J12" s="21">
        <v>121</v>
      </c>
      <c r="K12" s="21">
        <v>291</v>
      </c>
      <c r="L12" s="21">
        <v>243</v>
      </c>
      <c r="M12" s="21">
        <v>301</v>
      </c>
      <c r="N12" s="21">
        <v>36990608</v>
      </c>
    </row>
    <row r="13" spans="1:20" x14ac:dyDescent="0.2">
      <c r="A13" s="10" t="s">
        <v>98</v>
      </c>
      <c r="B13" s="10">
        <v>2015</v>
      </c>
      <c r="C13" s="10">
        <v>0.61</v>
      </c>
      <c r="D13" s="10">
        <v>0.44</v>
      </c>
      <c r="E13" s="10">
        <v>0.83</v>
      </c>
      <c r="F13" s="10" t="s">
        <v>20</v>
      </c>
      <c r="G13" s="10" t="s">
        <v>21</v>
      </c>
      <c r="H13" s="10" t="s">
        <v>107</v>
      </c>
      <c r="I13" s="10">
        <v>9.6999999999999993</v>
      </c>
      <c r="J13" s="10" t="s">
        <v>97</v>
      </c>
      <c r="K13" s="10" t="s">
        <v>97</v>
      </c>
      <c r="L13" s="10" t="s">
        <v>97</v>
      </c>
      <c r="M13" s="10" t="s">
        <v>97</v>
      </c>
      <c r="N13" s="13">
        <v>26610858</v>
      </c>
    </row>
    <row r="14" spans="1:20" x14ac:dyDescent="0.2">
      <c r="A14" s="16" t="s">
        <v>99</v>
      </c>
      <c r="B14" s="14">
        <v>2019</v>
      </c>
      <c r="C14" s="16">
        <v>0.46</v>
      </c>
      <c r="D14" s="16">
        <v>0.39</v>
      </c>
      <c r="E14" s="16">
        <v>0.54</v>
      </c>
      <c r="F14" s="10" t="s">
        <v>20</v>
      </c>
      <c r="G14" s="10" t="s">
        <v>21</v>
      </c>
      <c r="H14" s="10" t="s">
        <v>107</v>
      </c>
      <c r="I14" s="10">
        <v>14.7</v>
      </c>
      <c r="J14" s="10">
        <v>257</v>
      </c>
      <c r="K14" s="10">
        <v>487</v>
      </c>
      <c r="L14" s="10">
        <v>308</v>
      </c>
      <c r="M14" s="10">
        <v>468</v>
      </c>
      <c r="N14" s="10">
        <v>30987939</v>
      </c>
    </row>
    <row r="15" spans="1:20" x14ac:dyDescent="0.2">
      <c r="A15" s="10" t="s">
        <v>100</v>
      </c>
      <c r="B15" s="10">
        <v>2016</v>
      </c>
      <c r="C15" s="10">
        <v>0.68</v>
      </c>
      <c r="D15" s="10">
        <v>0.54</v>
      </c>
      <c r="E15" s="10">
        <v>0.85</v>
      </c>
      <c r="F15" s="10" t="s">
        <v>20</v>
      </c>
      <c r="G15" s="10" t="s">
        <v>21</v>
      </c>
      <c r="H15" s="10" t="s">
        <v>107</v>
      </c>
      <c r="I15" s="10">
        <v>27.9</v>
      </c>
      <c r="J15" s="10">
        <v>207</v>
      </c>
      <c r="K15" s="10">
        <v>272</v>
      </c>
      <c r="L15" s="10">
        <v>485</v>
      </c>
      <c r="M15" s="10">
        <v>558</v>
      </c>
      <c r="N15" s="14">
        <v>31560068</v>
      </c>
    </row>
    <row r="16" spans="1:20" x14ac:dyDescent="0.2">
      <c r="A16" s="10" t="s">
        <v>101</v>
      </c>
      <c r="B16" s="14">
        <v>2019</v>
      </c>
      <c r="C16" s="11">
        <v>0.46</v>
      </c>
      <c r="D16" s="11">
        <v>0.36</v>
      </c>
      <c r="E16" s="11">
        <v>0.57999999999999996</v>
      </c>
      <c r="F16" s="10" t="s">
        <v>20</v>
      </c>
      <c r="G16" s="10" t="s">
        <v>21</v>
      </c>
      <c r="H16" s="10" t="s">
        <v>107</v>
      </c>
      <c r="I16" s="10" t="s">
        <v>97</v>
      </c>
      <c r="J16" s="10">
        <v>113</v>
      </c>
      <c r="K16" s="10">
        <v>243</v>
      </c>
      <c r="L16" s="10">
        <v>181</v>
      </c>
      <c r="M16" s="10">
        <v>256</v>
      </c>
      <c r="N16" s="10">
        <v>31447077</v>
      </c>
    </row>
    <row r="17" spans="1:14" x14ac:dyDescent="0.2">
      <c r="A17" s="10" t="s">
        <v>103</v>
      </c>
      <c r="B17" s="10">
        <v>2019</v>
      </c>
      <c r="C17" s="11">
        <v>0.53</v>
      </c>
      <c r="D17" s="11">
        <v>0.41</v>
      </c>
      <c r="E17" s="11">
        <v>0.67</v>
      </c>
      <c r="F17" s="10" t="s">
        <v>20</v>
      </c>
      <c r="G17" s="10" t="s">
        <v>21</v>
      </c>
      <c r="H17" s="10" t="s">
        <v>107</v>
      </c>
      <c r="I17" s="10">
        <v>14.9</v>
      </c>
      <c r="J17" s="10">
        <v>109</v>
      </c>
      <c r="K17" s="10">
        <v>325</v>
      </c>
      <c r="L17" s="10">
        <v>173</v>
      </c>
      <c r="M17" s="10">
        <v>335</v>
      </c>
      <c r="N17" s="10">
        <v>31150574</v>
      </c>
    </row>
  </sheetData>
  <conditionalFormatting sqref="N4">
    <cfRule type="duplicateValues" dxfId="79" priority="1"/>
  </conditionalFormatting>
  <conditionalFormatting sqref="N6">
    <cfRule type="duplicateValues" dxfId="78" priority="4"/>
  </conditionalFormatting>
  <conditionalFormatting sqref="N12">
    <cfRule type="duplicateValues" dxfId="77" priority="2"/>
  </conditionalFormatting>
  <conditionalFormatting sqref="N14">
    <cfRule type="duplicateValues" dxfId="76" priority="5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2"/>
  <sheetViews>
    <sheetView zoomScale="83" zoomScaleNormal="83" workbookViewId="0">
      <pane xSplit="1" topLeftCell="H1" activePane="topRight" state="frozen"/>
      <selection pane="topRight" activeCell="N10" sqref="N10"/>
    </sheetView>
  </sheetViews>
  <sheetFormatPr baseColWidth="10" defaultColWidth="9.1640625" defaultRowHeight="13" x14ac:dyDescent="0.2"/>
  <cols>
    <col min="1" max="1" width="18.6640625" style="10" customWidth="1"/>
    <col min="2" max="5" width="9.33203125" style="10" customWidth="1"/>
    <col min="6" max="7" width="9.1640625" style="10"/>
    <col min="8" max="12" width="9.33203125" style="10" customWidth="1"/>
    <col min="13" max="13" width="10.83203125" style="10" customWidth="1"/>
    <col min="14" max="16384" width="9.1640625" style="10"/>
  </cols>
  <sheetData>
    <row r="1" spans="1:14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83</v>
      </c>
      <c r="I1" s="11" t="s">
        <v>85</v>
      </c>
      <c r="J1" s="11" t="s">
        <v>110</v>
      </c>
      <c r="K1" s="11" t="s">
        <v>84</v>
      </c>
      <c r="L1" s="11" t="s">
        <v>111</v>
      </c>
      <c r="M1" s="10" t="s">
        <v>86</v>
      </c>
      <c r="N1" s="10" t="s">
        <v>92</v>
      </c>
    </row>
    <row r="2" spans="1:14" x14ac:dyDescent="0.2">
      <c r="A2" s="10" t="s">
        <v>93</v>
      </c>
      <c r="B2" s="10">
        <v>2019</v>
      </c>
      <c r="C2" s="11">
        <v>0.25</v>
      </c>
      <c r="D2" s="11">
        <v>0.14000000000000001</v>
      </c>
      <c r="E2" s="11">
        <v>0.46</v>
      </c>
      <c r="F2" s="10" t="s">
        <v>20</v>
      </c>
      <c r="G2" s="10" t="s">
        <v>21</v>
      </c>
      <c r="H2" s="10" t="s">
        <v>97</v>
      </c>
      <c r="I2" s="10">
        <v>14</v>
      </c>
      <c r="J2" s="10">
        <v>220</v>
      </c>
      <c r="K2" s="10">
        <v>47</v>
      </c>
      <c r="L2" s="10">
        <v>203</v>
      </c>
      <c r="M2" s="12" t="s">
        <v>94</v>
      </c>
      <c r="N2" s="10" t="s">
        <v>188</v>
      </c>
    </row>
    <row r="3" spans="1:14" x14ac:dyDescent="0.2">
      <c r="A3" s="10" t="s">
        <v>95</v>
      </c>
      <c r="B3" s="10">
        <v>2018</v>
      </c>
      <c r="C3" s="10">
        <v>0.86</v>
      </c>
      <c r="D3" s="10">
        <v>0.6</v>
      </c>
      <c r="E3" s="10">
        <v>1.25</v>
      </c>
      <c r="F3" s="10" t="s">
        <v>20</v>
      </c>
      <c r="G3" s="10" t="s">
        <v>21</v>
      </c>
      <c r="H3" s="10">
        <v>41.1</v>
      </c>
      <c r="I3" s="10">
        <v>52</v>
      </c>
      <c r="J3" s="10">
        <v>134</v>
      </c>
      <c r="K3" s="10">
        <v>66</v>
      </c>
      <c r="L3" s="10">
        <v>143</v>
      </c>
      <c r="M3" s="10">
        <v>29384722</v>
      </c>
      <c r="N3" s="10" t="s">
        <v>189</v>
      </c>
    </row>
    <row r="4" spans="1:14" s="21" customFormat="1" x14ac:dyDescent="0.2">
      <c r="A4" s="21" t="s">
        <v>96</v>
      </c>
      <c r="B4" s="21">
        <v>2023</v>
      </c>
      <c r="C4" s="22">
        <v>0.34</v>
      </c>
      <c r="D4" s="22">
        <v>0.26</v>
      </c>
      <c r="E4" s="22">
        <v>0.45</v>
      </c>
      <c r="F4" s="21" t="s">
        <v>20</v>
      </c>
      <c r="G4" s="21" t="s">
        <v>21</v>
      </c>
      <c r="H4" s="21" t="s">
        <v>97</v>
      </c>
      <c r="I4" s="21">
        <v>82</v>
      </c>
      <c r="J4" s="21">
        <v>262</v>
      </c>
      <c r="K4" s="21">
        <v>170</v>
      </c>
      <c r="L4" s="21">
        <v>261</v>
      </c>
      <c r="M4" s="21">
        <v>36990608</v>
      </c>
      <c r="N4" s="21" t="s">
        <v>188</v>
      </c>
    </row>
    <row r="5" spans="1:14" x14ac:dyDescent="0.2">
      <c r="A5" s="10" t="s">
        <v>98</v>
      </c>
      <c r="B5" s="10">
        <v>2015</v>
      </c>
      <c r="C5" s="10">
        <v>0.81</v>
      </c>
      <c r="D5" s="10">
        <v>0.56999999999999995</v>
      </c>
      <c r="E5" s="10">
        <v>1.1399999999999999</v>
      </c>
      <c r="F5" s="10" t="s">
        <v>20</v>
      </c>
      <c r="G5" s="10" t="s">
        <v>21</v>
      </c>
      <c r="H5" s="10">
        <v>23.2</v>
      </c>
      <c r="I5" s="10" t="s">
        <v>97</v>
      </c>
      <c r="J5" s="10" t="s">
        <v>97</v>
      </c>
      <c r="K5" s="10" t="s">
        <v>97</v>
      </c>
      <c r="L5" s="10" t="s">
        <v>97</v>
      </c>
      <c r="M5" s="13">
        <v>26610858</v>
      </c>
      <c r="N5" s="10" t="s">
        <v>188</v>
      </c>
    </row>
    <row r="6" spans="1:14" x14ac:dyDescent="0.2">
      <c r="A6" s="10" t="s">
        <v>99</v>
      </c>
      <c r="B6" s="14">
        <v>2019</v>
      </c>
      <c r="C6" s="11">
        <v>0.59</v>
      </c>
      <c r="D6" s="11">
        <v>0.4</v>
      </c>
      <c r="E6" s="11">
        <v>0.85</v>
      </c>
      <c r="F6" s="10" t="s">
        <v>20</v>
      </c>
      <c r="G6" s="10" t="s">
        <v>21</v>
      </c>
      <c r="H6" s="10">
        <v>22.4</v>
      </c>
      <c r="I6" s="10">
        <v>45</v>
      </c>
      <c r="J6" s="10">
        <v>110</v>
      </c>
      <c r="K6" s="10">
        <v>73</v>
      </c>
      <c r="L6" s="10">
        <v>132</v>
      </c>
      <c r="M6" s="10">
        <v>30987939</v>
      </c>
      <c r="N6" s="10" t="s">
        <v>188</v>
      </c>
    </row>
    <row r="7" spans="1:14" x14ac:dyDescent="0.2">
      <c r="A7" s="10" t="s">
        <v>100</v>
      </c>
      <c r="B7" s="10">
        <v>2016</v>
      </c>
      <c r="C7" s="10">
        <v>0.62</v>
      </c>
      <c r="D7" s="10">
        <v>0.45</v>
      </c>
      <c r="E7" s="10">
        <v>0.85</v>
      </c>
      <c r="F7" s="10" t="s">
        <v>20</v>
      </c>
      <c r="G7" s="10" t="s">
        <v>21</v>
      </c>
      <c r="H7" s="10">
        <v>58.7</v>
      </c>
      <c r="I7" s="10">
        <v>120</v>
      </c>
      <c r="J7" s="10">
        <v>272</v>
      </c>
      <c r="K7" s="10">
        <v>329</v>
      </c>
      <c r="L7" s="10">
        <v>558</v>
      </c>
      <c r="M7" s="10">
        <v>31560068</v>
      </c>
      <c r="N7" s="10" t="s">
        <v>188</v>
      </c>
    </row>
    <row r="8" spans="1:14" x14ac:dyDescent="0.2">
      <c r="A8" s="10" t="s">
        <v>101</v>
      </c>
      <c r="B8" s="14">
        <v>2019</v>
      </c>
      <c r="C8" s="11">
        <v>0.4</v>
      </c>
      <c r="D8" s="11">
        <v>0.28000000000000003</v>
      </c>
      <c r="E8" s="11">
        <v>0.57999999999999996</v>
      </c>
      <c r="F8" s="10" t="s">
        <v>20</v>
      </c>
      <c r="G8" s="10" t="s">
        <v>21</v>
      </c>
      <c r="H8" s="10" t="s">
        <v>97</v>
      </c>
      <c r="I8" s="10">
        <v>45</v>
      </c>
      <c r="J8" s="10">
        <v>206</v>
      </c>
      <c r="K8" s="10">
        <v>86</v>
      </c>
      <c r="L8" s="10">
        <v>196</v>
      </c>
      <c r="M8" s="10">
        <v>31447077</v>
      </c>
      <c r="N8" s="10" t="s">
        <v>188</v>
      </c>
    </row>
    <row r="9" spans="1:14" x14ac:dyDescent="0.2">
      <c r="A9" s="10" t="s">
        <v>103</v>
      </c>
      <c r="B9" s="10">
        <v>2019</v>
      </c>
      <c r="C9" s="11">
        <v>0.36</v>
      </c>
      <c r="D9" s="11">
        <v>0.22</v>
      </c>
      <c r="E9" s="11">
        <v>0.56999999999999995</v>
      </c>
      <c r="F9" s="10" t="s">
        <v>20</v>
      </c>
      <c r="G9" s="10" t="s">
        <v>21</v>
      </c>
      <c r="H9" s="10">
        <v>30.5</v>
      </c>
      <c r="I9" s="10">
        <v>25</v>
      </c>
      <c r="J9" s="10">
        <v>200</v>
      </c>
      <c r="K9" s="10">
        <v>58</v>
      </c>
      <c r="L9" s="10">
        <v>192</v>
      </c>
      <c r="M9" s="10">
        <v>31150574</v>
      </c>
      <c r="N9" s="10" t="s">
        <v>188</v>
      </c>
    </row>
    <row r="12" spans="1:14" x14ac:dyDescent="0.2">
      <c r="B12" s="16"/>
      <c r="C12" s="16"/>
      <c r="D12" s="16"/>
      <c r="E12" s="16"/>
    </row>
  </sheetData>
  <conditionalFormatting sqref="M4">
    <cfRule type="duplicateValues" dxfId="75" priority="1"/>
  </conditionalFormatting>
  <conditionalFormatting sqref="M6">
    <cfRule type="duplicateValues" dxfId="74" priority="3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5"/>
  <sheetViews>
    <sheetView zoomScale="83" zoomScaleNormal="83" workbookViewId="0">
      <pane xSplit="1" topLeftCell="K1" activePane="topRight" state="frozen"/>
      <selection pane="topRight" activeCell="N10" sqref="N10"/>
    </sheetView>
  </sheetViews>
  <sheetFormatPr baseColWidth="10" defaultColWidth="9.1640625" defaultRowHeight="13" x14ac:dyDescent="0.2"/>
  <cols>
    <col min="1" max="1" width="23.33203125" style="10" customWidth="1"/>
    <col min="2" max="5" width="9.33203125" style="10" customWidth="1"/>
    <col min="6" max="7" width="9.1640625" style="10"/>
    <col min="8" max="12" width="9.33203125" style="10" customWidth="1"/>
    <col min="13" max="13" width="10.83203125" style="10" customWidth="1"/>
    <col min="14" max="16384" width="9.1640625" style="10"/>
  </cols>
  <sheetData>
    <row r="1" spans="1:14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83</v>
      </c>
      <c r="I1" s="11" t="s">
        <v>85</v>
      </c>
      <c r="J1" s="11" t="s">
        <v>110</v>
      </c>
      <c r="K1" s="11" t="s">
        <v>84</v>
      </c>
      <c r="L1" s="11" t="s">
        <v>111</v>
      </c>
      <c r="M1" s="10" t="s">
        <v>86</v>
      </c>
      <c r="N1" s="10" t="s">
        <v>92</v>
      </c>
    </row>
    <row r="2" spans="1:14" x14ac:dyDescent="0.2">
      <c r="A2" s="10" t="s">
        <v>93</v>
      </c>
      <c r="B2" s="10">
        <v>2019</v>
      </c>
      <c r="C2" s="11">
        <v>0.43</v>
      </c>
      <c r="D2" s="11">
        <v>0.33</v>
      </c>
      <c r="E2" s="11">
        <v>0.56999999999999995</v>
      </c>
      <c r="F2" s="10" t="s">
        <v>20</v>
      </c>
      <c r="G2" s="10" t="s">
        <v>21</v>
      </c>
      <c r="H2" s="10" t="s">
        <v>97</v>
      </c>
      <c r="I2" s="10">
        <v>77</v>
      </c>
      <c r="J2" s="10">
        <v>354</v>
      </c>
      <c r="K2" s="10">
        <v>154</v>
      </c>
      <c r="L2" s="10">
        <v>373</v>
      </c>
      <c r="M2" s="12" t="s">
        <v>94</v>
      </c>
      <c r="N2" s="10" t="s">
        <v>188</v>
      </c>
    </row>
    <row r="3" spans="1:14" x14ac:dyDescent="0.2">
      <c r="A3" s="10" t="s">
        <v>95</v>
      </c>
      <c r="B3" s="10">
        <v>2018</v>
      </c>
      <c r="C3" s="10">
        <v>0.53</v>
      </c>
      <c r="D3" s="10">
        <v>0.42</v>
      </c>
      <c r="E3" s="10">
        <v>0.67</v>
      </c>
      <c r="F3" s="10" t="s">
        <v>20</v>
      </c>
      <c r="G3" s="10" t="s">
        <v>21</v>
      </c>
      <c r="H3" s="10">
        <v>12.5</v>
      </c>
      <c r="I3" s="10">
        <v>142</v>
      </c>
      <c r="J3" s="10">
        <v>263</v>
      </c>
      <c r="K3" s="10">
        <v>176</v>
      </c>
      <c r="L3" s="10">
        <v>250</v>
      </c>
      <c r="M3" s="10">
        <v>29384722</v>
      </c>
      <c r="N3" s="10" t="s">
        <v>189</v>
      </c>
    </row>
    <row r="4" spans="1:14" s="21" customFormat="1" x14ac:dyDescent="0.2">
      <c r="A4" s="21" t="s">
        <v>96</v>
      </c>
      <c r="B4" s="21">
        <v>2023</v>
      </c>
      <c r="C4" s="22">
        <v>0.51</v>
      </c>
      <c r="D4" s="22">
        <v>0.42</v>
      </c>
      <c r="E4" s="22">
        <v>0.61</v>
      </c>
      <c r="F4" s="21" t="s">
        <v>20</v>
      </c>
      <c r="G4" s="21" t="s">
        <v>21</v>
      </c>
      <c r="H4" s="21" t="s">
        <v>97</v>
      </c>
      <c r="I4" s="21">
        <v>186</v>
      </c>
      <c r="J4" s="21">
        <v>301</v>
      </c>
      <c r="K4" s="21">
        <v>243</v>
      </c>
      <c r="L4" s="21">
        <v>301</v>
      </c>
      <c r="M4" s="21">
        <v>36990608</v>
      </c>
      <c r="N4" s="21" t="s">
        <v>188</v>
      </c>
    </row>
    <row r="5" spans="1:14" x14ac:dyDescent="0.2">
      <c r="A5" s="10" t="s">
        <v>98</v>
      </c>
      <c r="B5" s="10">
        <v>2015</v>
      </c>
      <c r="C5" s="10">
        <v>0.61</v>
      </c>
      <c r="D5" s="10">
        <v>0.44</v>
      </c>
      <c r="E5" s="10">
        <v>0.83</v>
      </c>
      <c r="F5" s="10" t="s">
        <v>20</v>
      </c>
      <c r="G5" s="10" t="s">
        <v>21</v>
      </c>
      <c r="H5" s="10">
        <v>9.6999999999999993</v>
      </c>
      <c r="I5" s="10" t="s">
        <v>97</v>
      </c>
      <c r="J5" s="10" t="s">
        <v>97</v>
      </c>
      <c r="K5" s="10" t="s">
        <v>97</v>
      </c>
      <c r="L5" s="10" t="s">
        <v>97</v>
      </c>
      <c r="M5" s="13">
        <v>26610858</v>
      </c>
      <c r="N5" s="10" t="s">
        <v>188</v>
      </c>
    </row>
    <row r="6" spans="1:14" x14ac:dyDescent="0.2">
      <c r="A6" s="16" t="s">
        <v>99</v>
      </c>
      <c r="B6" s="14">
        <v>2019</v>
      </c>
      <c r="C6" s="16">
        <v>0.46</v>
      </c>
      <c r="D6" s="16">
        <v>0.39</v>
      </c>
      <c r="E6" s="16">
        <v>0.54</v>
      </c>
      <c r="F6" s="10" t="s">
        <v>20</v>
      </c>
      <c r="G6" s="10" t="s">
        <v>21</v>
      </c>
      <c r="H6" s="10">
        <v>14.7</v>
      </c>
      <c r="I6" s="10">
        <v>257</v>
      </c>
      <c r="J6" s="10">
        <v>487</v>
      </c>
      <c r="K6" s="10">
        <v>308</v>
      </c>
      <c r="L6" s="10">
        <v>468</v>
      </c>
      <c r="M6" s="10">
        <v>30987939</v>
      </c>
      <c r="N6" s="10" t="s">
        <v>188</v>
      </c>
    </row>
    <row r="7" spans="1:14" x14ac:dyDescent="0.2">
      <c r="A7" s="10" t="s">
        <v>100</v>
      </c>
      <c r="B7" s="10">
        <v>2016</v>
      </c>
      <c r="C7" s="10">
        <v>0.68</v>
      </c>
      <c r="D7" s="10">
        <v>0.54</v>
      </c>
      <c r="E7" s="10">
        <v>0.85</v>
      </c>
      <c r="F7" s="10" t="s">
        <v>20</v>
      </c>
      <c r="G7" s="10" t="s">
        <v>21</v>
      </c>
      <c r="H7" s="10">
        <v>27.9</v>
      </c>
      <c r="I7" s="10">
        <v>207</v>
      </c>
      <c r="J7" s="10">
        <v>272</v>
      </c>
      <c r="K7" s="10">
        <v>485</v>
      </c>
      <c r="L7" s="10">
        <v>558</v>
      </c>
      <c r="M7" s="14">
        <v>31560068</v>
      </c>
      <c r="N7" s="10" t="s">
        <v>188</v>
      </c>
    </row>
    <row r="8" spans="1:14" x14ac:dyDescent="0.2">
      <c r="A8" s="10" t="s">
        <v>101</v>
      </c>
      <c r="B8" s="14">
        <v>2019</v>
      </c>
      <c r="C8" s="11">
        <v>0.46</v>
      </c>
      <c r="D8" s="11">
        <v>0.36</v>
      </c>
      <c r="E8" s="11">
        <v>0.57999999999999996</v>
      </c>
      <c r="F8" s="10" t="s">
        <v>20</v>
      </c>
      <c r="G8" s="10" t="s">
        <v>21</v>
      </c>
      <c r="H8" s="10" t="s">
        <v>97</v>
      </c>
      <c r="I8" s="10">
        <v>113</v>
      </c>
      <c r="J8" s="10">
        <v>243</v>
      </c>
      <c r="K8" s="10">
        <v>181</v>
      </c>
      <c r="L8" s="10">
        <v>256</v>
      </c>
      <c r="M8" s="10">
        <v>31447077</v>
      </c>
      <c r="N8" s="30" t="s">
        <v>188</v>
      </c>
    </row>
    <row r="9" spans="1:14" x14ac:dyDescent="0.2">
      <c r="A9" s="10" t="s">
        <v>103</v>
      </c>
      <c r="B9" s="10">
        <v>2019</v>
      </c>
      <c r="C9" s="11">
        <v>0.53</v>
      </c>
      <c r="D9" s="11">
        <v>0.41</v>
      </c>
      <c r="E9" s="11">
        <v>0.67</v>
      </c>
      <c r="F9" s="10" t="s">
        <v>20</v>
      </c>
      <c r="G9" s="10" t="s">
        <v>21</v>
      </c>
      <c r="H9" s="10">
        <v>14.9</v>
      </c>
      <c r="I9" s="10">
        <v>109</v>
      </c>
      <c r="J9" s="10">
        <v>325</v>
      </c>
      <c r="K9" s="10">
        <v>173</v>
      </c>
      <c r="L9" s="10">
        <v>335</v>
      </c>
      <c r="M9" s="10">
        <v>31150574</v>
      </c>
      <c r="N9" s="10" t="s">
        <v>188</v>
      </c>
    </row>
    <row r="11" spans="1:14" x14ac:dyDescent="0.2">
      <c r="A11" s="16"/>
      <c r="B11" s="16"/>
      <c r="C11" s="16"/>
      <c r="D11" s="16"/>
      <c r="E11" s="16"/>
      <c r="F11" s="16"/>
    </row>
    <row r="15" spans="1:14" x14ac:dyDescent="0.2">
      <c r="A15" s="16"/>
      <c r="B15" s="16"/>
    </row>
  </sheetData>
  <conditionalFormatting sqref="M4">
    <cfRule type="duplicateValues" dxfId="73" priority="1"/>
  </conditionalFormatting>
  <conditionalFormatting sqref="M6">
    <cfRule type="duplicateValues" dxfId="72" priority="3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3"/>
  <sheetViews>
    <sheetView zoomScale="83" zoomScaleNormal="83" workbookViewId="0">
      <pane xSplit="1" topLeftCell="I1" activePane="topRight" state="frozen"/>
      <selection pane="topRight" activeCell="N10" sqref="N10"/>
    </sheetView>
  </sheetViews>
  <sheetFormatPr baseColWidth="10" defaultColWidth="9.1640625" defaultRowHeight="13" x14ac:dyDescent="0.2"/>
  <cols>
    <col min="1" max="1" width="18.6640625" style="10" customWidth="1"/>
    <col min="2" max="5" width="9.33203125" style="10" customWidth="1"/>
    <col min="6" max="10" width="9.1640625" style="10"/>
    <col min="11" max="12" width="9.33203125" style="10" customWidth="1"/>
    <col min="13" max="13" width="10.83203125" style="10" customWidth="1"/>
    <col min="14" max="16384" width="9.1640625" style="10"/>
  </cols>
  <sheetData>
    <row r="1" spans="1:15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83</v>
      </c>
      <c r="I1" s="11" t="s">
        <v>85</v>
      </c>
      <c r="J1" s="11" t="s">
        <v>110</v>
      </c>
      <c r="K1" s="11" t="s">
        <v>84</v>
      </c>
      <c r="L1" s="11" t="s">
        <v>111</v>
      </c>
      <c r="M1" s="10" t="s">
        <v>86</v>
      </c>
      <c r="N1" s="10" t="s">
        <v>92</v>
      </c>
    </row>
    <row r="2" spans="1:15" x14ac:dyDescent="0.2">
      <c r="A2" s="10" t="s">
        <v>93</v>
      </c>
      <c r="B2" s="10">
        <v>2022</v>
      </c>
      <c r="C2" s="11">
        <v>0.66</v>
      </c>
      <c r="D2" s="11">
        <v>0.43</v>
      </c>
      <c r="E2" s="11">
        <v>1.03</v>
      </c>
      <c r="F2" s="10" t="s">
        <v>20</v>
      </c>
      <c r="G2" s="10" t="s">
        <v>21</v>
      </c>
      <c r="H2" s="10" t="s">
        <v>97</v>
      </c>
      <c r="I2" s="10">
        <v>35</v>
      </c>
      <c r="J2" s="10">
        <v>220</v>
      </c>
      <c r="K2" s="10">
        <v>46</v>
      </c>
      <c r="L2" s="10">
        <v>203</v>
      </c>
      <c r="M2" s="19">
        <v>35420921</v>
      </c>
      <c r="N2" s="10" t="s">
        <v>188</v>
      </c>
    </row>
    <row r="3" spans="1:15" x14ac:dyDescent="0.2">
      <c r="A3" s="10" t="s">
        <v>95</v>
      </c>
      <c r="B3" s="10">
        <v>2018</v>
      </c>
      <c r="C3" s="10">
        <v>1.04</v>
      </c>
      <c r="D3" s="10">
        <v>0.7</v>
      </c>
      <c r="E3" s="10">
        <v>1.55</v>
      </c>
      <c r="F3" s="10" t="s">
        <v>20</v>
      </c>
      <c r="G3" s="10" t="s">
        <v>21</v>
      </c>
      <c r="H3" s="10">
        <v>22.7</v>
      </c>
      <c r="I3" s="10">
        <v>67</v>
      </c>
      <c r="J3" s="10">
        <v>134</v>
      </c>
      <c r="K3" s="10">
        <v>90</v>
      </c>
      <c r="L3" s="10">
        <v>143</v>
      </c>
      <c r="M3" s="10">
        <v>29384722</v>
      </c>
      <c r="N3" s="10" t="s">
        <v>189</v>
      </c>
    </row>
    <row r="4" spans="1:15" s="21" customFormat="1" x14ac:dyDescent="0.2">
      <c r="A4" s="21" t="s">
        <v>96</v>
      </c>
      <c r="B4" s="21">
        <v>2023</v>
      </c>
      <c r="C4" s="22">
        <v>0.54</v>
      </c>
      <c r="D4" s="22">
        <v>0.39</v>
      </c>
      <c r="E4" s="22">
        <v>0.74</v>
      </c>
      <c r="F4" s="21" t="s">
        <v>20</v>
      </c>
      <c r="G4" s="21" t="s">
        <v>21</v>
      </c>
      <c r="H4" s="21" t="s">
        <v>97</v>
      </c>
      <c r="I4" s="21">
        <v>59</v>
      </c>
      <c r="J4" s="21">
        <v>262</v>
      </c>
      <c r="K4" s="21">
        <v>97</v>
      </c>
      <c r="L4" s="21">
        <v>261</v>
      </c>
      <c r="M4" s="21">
        <v>36990608</v>
      </c>
      <c r="N4" s="21" t="s">
        <v>188</v>
      </c>
    </row>
    <row r="5" spans="1:15" x14ac:dyDescent="0.2">
      <c r="A5" s="10" t="s">
        <v>98</v>
      </c>
      <c r="B5" s="14">
        <v>2015</v>
      </c>
      <c r="C5" s="11">
        <v>1.02</v>
      </c>
      <c r="D5" s="11">
        <v>0.67</v>
      </c>
      <c r="E5" s="11">
        <v>1.55</v>
      </c>
      <c r="F5" s="10" t="s">
        <v>20</v>
      </c>
      <c r="G5" s="10" t="s">
        <v>21</v>
      </c>
      <c r="H5" s="10">
        <v>83.4</v>
      </c>
      <c r="I5" s="10" t="s">
        <v>97</v>
      </c>
      <c r="J5" s="10" t="s">
        <v>97</v>
      </c>
      <c r="K5" s="10" t="s">
        <v>97</v>
      </c>
      <c r="L5" s="10" t="s">
        <v>97</v>
      </c>
      <c r="M5" s="13">
        <v>26610858</v>
      </c>
      <c r="N5" s="10" t="s">
        <v>188</v>
      </c>
    </row>
    <row r="6" spans="1:15" x14ac:dyDescent="0.2">
      <c r="A6" s="10" t="s">
        <v>99</v>
      </c>
      <c r="B6" s="14">
        <v>2019</v>
      </c>
      <c r="C6" s="16">
        <v>0.72</v>
      </c>
      <c r="D6" s="16">
        <v>0.47</v>
      </c>
      <c r="E6" s="16">
        <v>1.1000000000000001</v>
      </c>
      <c r="F6" s="10" t="s">
        <v>20</v>
      </c>
      <c r="G6" s="10" t="s">
        <v>21</v>
      </c>
      <c r="H6" s="10" t="s">
        <v>97</v>
      </c>
      <c r="I6" s="10">
        <v>34</v>
      </c>
      <c r="J6" s="10">
        <v>110</v>
      </c>
      <c r="K6" s="10">
        <v>54</v>
      </c>
      <c r="L6" s="10">
        <v>133</v>
      </c>
      <c r="M6" s="10">
        <v>30987939</v>
      </c>
      <c r="N6" s="10" t="s">
        <v>188</v>
      </c>
    </row>
    <row r="7" spans="1:15" x14ac:dyDescent="0.2">
      <c r="A7" s="10" t="s">
        <v>100</v>
      </c>
      <c r="B7" s="10">
        <v>2016</v>
      </c>
      <c r="C7" s="10">
        <v>0.76</v>
      </c>
      <c r="D7" s="10">
        <v>0.54</v>
      </c>
      <c r="E7" s="10">
        <v>1.07</v>
      </c>
      <c r="F7" s="10" t="s">
        <v>20</v>
      </c>
      <c r="G7" s="10" t="s">
        <v>21</v>
      </c>
      <c r="H7" s="10">
        <v>75.8</v>
      </c>
      <c r="I7" s="10">
        <v>35</v>
      </c>
      <c r="J7" s="10">
        <v>124</v>
      </c>
      <c r="K7" s="10">
        <v>102</v>
      </c>
      <c r="L7" s="10">
        <v>238</v>
      </c>
      <c r="M7" s="10">
        <v>31560068</v>
      </c>
      <c r="N7" s="10" t="s">
        <v>188</v>
      </c>
    </row>
    <row r="8" spans="1:15" s="21" customFormat="1" x14ac:dyDescent="0.2">
      <c r="A8" s="21" t="s">
        <v>101</v>
      </c>
      <c r="B8" s="21">
        <v>2023</v>
      </c>
      <c r="C8" s="22">
        <v>0.57999999999999996</v>
      </c>
      <c r="D8" s="22">
        <v>0.44</v>
      </c>
      <c r="E8" s="22">
        <v>0.75</v>
      </c>
      <c r="F8" s="21" t="s">
        <v>20</v>
      </c>
      <c r="G8" s="21" t="s">
        <v>21</v>
      </c>
      <c r="H8" s="21" t="s">
        <v>97</v>
      </c>
      <c r="I8" s="21">
        <v>96</v>
      </c>
      <c r="J8" s="21">
        <v>222</v>
      </c>
      <c r="K8" s="21">
        <v>130</v>
      </c>
      <c r="L8" s="21">
        <v>204</v>
      </c>
      <c r="M8" s="23">
        <v>37142371</v>
      </c>
      <c r="N8" s="21" t="s">
        <v>188</v>
      </c>
      <c r="O8" s="23" t="s">
        <v>104</v>
      </c>
    </row>
    <row r="9" spans="1:15" x14ac:dyDescent="0.2">
      <c r="A9" s="10" t="s">
        <v>103</v>
      </c>
      <c r="B9" s="10">
        <v>2019</v>
      </c>
      <c r="C9" s="11">
        <v>0.52</v>
      </c>
      <c r="D9" s="11">
        <v>0.35</v>
      </c>
      <c r="E9" s="11">
        <v>0.79</v>
      </c>
      <c r="F9" s="10" t="s">
        <v>20</v>
      </c>
      <c r="G9" s="10" t="s">
        <v>21</v>
      </c>
      <c r="H9" s="10" t="s">
        <v>97</v>
      </c>
      <c r="I9" s="10">
        <v>36</v>
      </c>
      <c r="J9" s="10">
        <v>200</v>
      </c>
      <c r="K9" s="10">
        <v>60</v>
      </c>
      <c r="L9" s="10">
        <v>192</v>
      </c>
      <c r="M9" s="15" t="s">
        <v>147</v>
      </c>
      <c r="N9" s="10" t="s">
        <v>188</v>
      </c>
    </row>
    <row r="13" spans="1:15" x14ac:dyDescent="0.2">
      <c r="B13" s="16"/>
    </row>
  </sheetData>
  <conditionalFormatting sqref="M4">
    <cfRule type="duplicateValues" dxfId="71" priority="1"/>
  </conditionalFormatting>
  <conditionalFormatting sqref="M5">
    <cfRule type="duplicateValues" dxfId="70" priority="4"/>
  </conditionalFormatting>
  <conditionalFormatting sqref="M6">
    <cfRule type="duplicateValues" dxfId="69" priority="3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4"/>
  <sheetViews>
    <sheetView zoomScaleNormal="83" workbookViewId="0">
      <pane xSplit="1" topLeftCell="M1" activePane="topRight" state="frozen"/>
      <selection pane="topRight" activeCell="N10" sqref="N10"/>
    </sheetView>
  </sheetViews>
  <sheetFormatPr baseColWidth="10" defaultColWidth="9.1640625" defaultRowHeight="13" x14ac:dyDescent="0.2"/>
  <cols>
    <col min="1" max="1" width="18.6640625" style="10" customWidth="1"/>
    <col min="2" max="5" width="9.33203125" style="10" customWidth="1"/>
    <col min="6" max="7" width="9.1640625" style="10"/>
    <col min="8" max="12" width="9.33203125" style="10" customWidth="1"/>
    <col min="13" max="13" width="10.83203125" style="10" customWidth="1"/>
    <col min="14" max="16384" width="9.1640625" style="10"/>
  </cols>
  <sheetData>
    <row r="1" spans="1:15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83</v>
      </c>
      <c r="I1" s="11" t="s">
        <v>85</v>
      </c>
      <c r="J1" s="11" t="s">
        <v>110</v>
      </c>
      <c r="K1" s="11" t="s">
        <v>84</v>
      </c>
      <c r="L1" s="11" t="s">
        <v>111</v>
      </c>
      <c r="M1" s="10" t="s">
        <v>86</v>
      </c>
      <c r="N1" s="10" t="s">
        <v>92</v>
      </c>
    </row>
    <row r="2" spans="1:15" x14ac:dyDescent="0.2">
      <c r="A2" s="10" t="s">
        <v>93</v>
      </c>
      <c r="B2" s="10">
        <v>2022</v>
      </c>
      <c r="C2" s="11">
        <v>0.66</v>
      </c>
      <c r="D2" s="11">
        <v>0.52</v>
      </c>
      <c r="E2" s="11">
        <v>0.83</v>
      </c>
      <c r="F2" s="10" t="s">
        <v>20</v>
      </c>
      <c r="G2" s="10" t="s">
        <v>21</v>
      </c>
      <c r="H2" s="10">
        <v>45.9</v>
      </c>
      <c r="I2" s="10">
        <v>119</v>
      </c>
      <c r="J2" s="10">
        <v>354</v>
      </c>
      <c r="K2" s="10">
        <v>156</v>
      </c>
      <c r="L2" s="10">
        <v>373</v>
      </c>
      <c r="M2" s="19">
        <v>35420921</v>
      </c>
      <c r="N2" s="10" t="s">
        <v>188</v>
      </c>
    </row>
    <row r="3" spans="1:15" x14ac:dyDescent="0.2">
      <c r="A3" s="10" t="s">
        <v>95</v>
      </c>
      <c r="B3" s="10">
        <v>2018</v>
      </c>
      <c r="C3" s="10">
        <v>0.63</v>
      </c>
      <c r="D3" s="10">
        <v>0.5</v>
      </c>
      <c r="E3" s="10">
        <v>0.79</v>
      </c>
      <c r="F3" s="10" t="s">
        <v>20</v>
      </c>
      <c r="G3" s="10" t="s">
        <v>21</v>
      </c>
      <c r="H3" s="10">
        <v>34.4</v>
      </c>
      <c r="I3" s="10">
        <v>137</v>
      </c>
      <c r="J3" s="10">
        <v>263</v>
      </c>
      <c r="K3" s="10">
        <v>162</v>
      </c>
      <c r="L3" s="10">
        <v>250</v>
      </c>
      <c r="M3" s="10">
        <v>29384722</v>
      </c>
      <c r="N3" s="10" t="s">
        <v>189</v>
      </c>
    </row>
    <row r="4" spans="1:15" s="21" customFormat="1" x14ac:dyDescent="0.2">
      <c r="A4" s="21" t="s">
        <v>96</v>
      </c>
      <c r="B4" s="21">
        <v>2023</v>
      </c>
      <c r="C4" s="22">
        <v>0.79</v>
      </c>
      <c r="D4" s="22">
        <v>0.63</v>
      </c>
      <c r="E4" s="22">
        <v>0.98</v>
      </c>
      <c r="F4" s="21" t="s">
        <v>20</v>
      </c>
      <c r="G4" s="21" t="s">
        <v>21</v>
      </c>
      <c r="H4" s="21" t="s">
        <v>97</v>
      </c>
      <c r="I4" s="21">
        <v>149</v>
      </c>
      <c r="J4" s="21">
        <v>301</v>
      </c>
      <c r="K4" s="21">
        <v>171</v>
      </c>
      <c r="L4" s="21">
        <v>301</v>
      </c>
      <c r="M4" s="21">
        <v>36990608</v>
      </c>
      <c r="N4" s="21" t="s">
        <v>188</v>
      </c>
    </row>
    <row r="5" spans="1:15" x14ac:dyDescent="0.2">
      <c r="A5" s="10" t="s">
        <v>98</v>
      </c>
      <c r="B5" s="10">
        <v>2015</v>
      </c>
      <c r="C5" s="10">
        <v>0.78</v>
      </c>
      <c r="D5" s="10">
        <v>0.56000000000000005</v>
      </c>
      <c r="E5" s="10">
        <v>1.0900000000000001</v>
      </c>
      <c r="F5" s="10" t="s">
        <v>20</v>
      </c>
      <c r="G5" s="10" t="s">
        <v>21</v>
      </c>
      <c r="H5" s="10">
        <v>35.1</v>
      </c>
      <c r="I5" s="10" t="s">
        <v>97</v>
      </c>
      <c r="J5" s="10" t="s">
        <v>97</v>
      </c>
      <c r="K5" s="10" t="s">
        <v>97</v>
      </c>
      <c r="L5" s="10" t="s">
        <v>97</v>
      </c>
      <c r="M5" s="13">
        <v>26610858</v>
      </c>
      <c r="N5" s="10" t="s">
        <v>188</v>
      </c>
    </row>
    <row r="6" spans="1:15" x14ac:dyDescent="0.2">
      <c r="A6" s="16" t="s">
        <v>99</v>
      </c>
      <c r="B6" s="14">
        <v>2019</v>
      </c>
      <c r="C6" s="16">
        <v>0.62</v>
      </c>
      <c r="D6" s="16">
        <v>0.52</v>
      </c>
      <c r="E6" s="16">
        <v>0.74</v>
      </c>
      <c r="F6" s="10" t="s">
        <v>20</v>
      </c>
      <c r="G6" s="10" t="s">
        <v>21</v>
      </c>
      <c r="H6" s="10" t="s">
        <v>97</v>
      </c>
      <c r="I6" s="10">
        <v>241</v>
      </c>
      <c r="J6" s="10">
        <v>487</v>
      </c>
      <c r="K6" s="10">
        <v>289</v>
      </c>
      <c r="L6" s="10">
        <v>468</v>
      </c>
      <c r="M6" s="10">
        <v>30987939</v>
      </c>
      <c r="N6" s="10" t="s">
        <v>188</v>
      </c>
    </row>
    <row r="7" spans="1:15" x14ac:dyDescent="0.2">
      <c r="A7" s="10" t="s">
        <v>100</v>
      </c>
      <c r="B7" s="10">
        <v>2016</v>
      </c>
      <c r="C7" s="10">
        <v>0.81</v>
      </c>
      <c r="D7" s="10">
        <v>0.64</v>
      </c>
      <c r="E7" s="10">
        <v>1.02</v>
      </c>
      <c r="F7" s="10" t="s">
        <v>20</v>
      </c>
      <c r="G7" s="10" t="s">
        <v>21</v>
      </c>
      <c r="H7" s="10">
        <v>44.8</v>
      </c>
      <c r="I7" s="10">
        <f>148-50</f>
        <v>98</v>
      </c>
      <c r="J7" s="10">
        <v>148</v>
      </c>
      <c r="K7" s="10">
        <f>320-77</f>
        <v>243</v>
      </c>
      <c r="L7" s="10">
        <v>320</v>
      </c>
      <c r="M7" s="14">
        <v>31560068</v>
      </c>
      <c r="N7" s="10" t="s">
        <v>188</v>
      </c>
    </row>
    <row r="8" spans="1:15" s="21" customFormat="1" x14ac:dyDescent="0.2">
      <c r="A8" s="21" t="s">
        <v>101</v>
      </c>
      <c r="B8" s="21">
        <v>2023</v>
      </c>
      <c r="C8" s="22">
        <v>0.66</v>
      </c>
      <c r="D8" s="22">
        <v>0.54</v>
      </c>
      <c r="E8" s="22">
        <v>0.81</v>
      </c>
      <c r="F8" s="21" t="s">
        <v>20</v>
      </c>
      <c r="G8" s="21" t="s">
        <v>21</v>
      </c>
      <c r="H8" s="21" t="s">
        <v>97</v>
      </c>
      <c r="I8" s="21">
        <v>184</v>
      </c>
      <c r="J8" s="21">
        <v>253</v>
      </c>
      <c r="K8" s="21">
        <v>221</v>
      </c>
      <c r="L8" s="21">
        <v>271</v>
      </c>
      <c r="M8" s="23">
        <v>37142371</v>
      </c>
      <c r="N8" s="21" t="s">
        <v>188</v>
      </c>
      <c r="O8" s="23" t="s">
        <v>104</v>
      </c>
    </row>
    <row r="9" spans="1:15" x14ac:dyDescent="0.2">
      <c r="A9" s="10" t="s">
        <v>103</v>
      </c>
      <c r="B9" s="10">
        <v>2019</v>
      </c>
      <c r="C9" s="11">
        <v>0.7</v>
      </c>
      <c r="D9" s="11">
        <v>0.56000000000000005</v>
      </c>
      <c r="E9" s="11">
        <v>0.88</v>
      </c>
      <c r="F9" s="10" t="s">
        <v>20</v>
      </c>
      <c r="G9" s="10" t="s">
        <v>21</v>
      </c>
      <c r="H9" s="10" t="s">
        <v>97</v>
      </c>
      <c r="I9" s="10">
        <v>134</v>
      </c>
      <c r="J9" s="10">
        <v>325</v>
      </c>
      <c r="K9" s="10">
        <v>175</v>
      </c>
      <c r="L9" s="10">
        <v>335</v>
      </c>
      <c r="M9" s="15" t="s">
        <v>147</v>
      </c>
      <c r="N9" s="10" t="s">
        <v>188</v>
      </c>
    </row>
    <row r="10" spans="1:15" x14ac:dyDescent="0.2">
      <c r="A10" s="16"/>
      <c r="B10" s="16"/>
      <c r="C10" s="16"/>
      <c r="D10" s="16"/>
      <c r="E10" s="16"/>
      <c r="F10" s="16"/>
    </row>
    <row r="14" spans="1:15" x14ac:dyDescent="0.2">
      <c r="A14" s="16"/>
      <c r="B14" s="16"/>
    </row>
  </sheetData>
  <conditionalFormatting sqref="M4">
    <cfRule type="duplicateValues" dxfId="68" priority="1"/>
  </conditionalFormatting>
  <conditionalFormatting sqref="M5">
    <cfRule type="duplicateValues" dxfId="67" priority="4"/>
  </conditionalFormatting>
  <conditionalFormatting sqref="M6">
    <cfRule type="duplicateValues" dxfId="66" priority="3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9"/>
  <sheetViews>
    <sheetView topLeftCell="H1" zoomScaleNormal="100" workbookViewId="0">
      <selection activeCell="H24" sqref="H24"/>
    </sheetView>
  </sheetViews>
  <sheetFormatPr baseColWidth="10" defaultColWidth="9.1640625" defaultRowHeight="13" x14ac:dyDescent="0.2"/>
  <cols>
    <col min="1" max="1" width="9.1640625" style="10"/>
    <col min="2" max="5" width="9.33203125" style="10" customWidth="1"/>
    <col min="6" max="7" width="9.1640625" style="10"/>
    <col min="8" max="8" width="9.33203125" style="10" customWidth="1"/>
    <col min="9" max="11" width="9.1640625" style="10"/>
    <col min="12" max="13" width="9.33203125" style="10" customWidth="1"/>
    <col min="14" max="14" width="10.5" style="10" customWidth="1"/>
    <col min="15" max="16384" width="9.1640625" style="10"/>
  </cols>
  <sheetData>
    <row r="1" spans="1:20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47</v>
      </c>
      <c r="I1" s="11" t="s">
        <v>83</v>
      </c>
      <c r="J1" s="11" t="s">
        <v>85</v>
      </c>
      <c r="K1" s="11" t="s">
        <v>110</v>
      </c>
      <c r="L1" s="11" t="s">
        <v>84</v>
      </c>
      <c r="M1" s="11" t="s">
        <v>111</v>
      </c>
      <c r="N1" s="10" t="s">
        <v>86</v>
      </c>
      <c r="O1" s="10" t="s">
        <v>87</v>
      </c>
      <c r="P1" s="10" t="s">
        <v>88</v>
      </c>
      <c r="Q1" s="10" t="s">
        <v>89</v>
      </c>
      <c r="R1" s="10" t="s">
        <v>90</v>
      </c>
      <c r="S1" s="10" t="s">
        <v>91</v>
      </c>
      <c r="T1" s="10" t="s">
        <v>92</v>
      </c>
    </row>
    <row r="2" spans="1:20" x14ac:dyDescent="0.2">
      <c r="A2" s="10" t="s">
        <v>93</v>
      </c>
      <c r="B2" s="10">
        <v>2022</v>
      </c>
      <c r="C2" s="11">
        <v>0.71</v>
      </c>
      <c r="D2" s="11">
        <v>0.41</v>
      </c>
      <c r="E2" s="11">
        <v>1.21</v>
      </c>
      <c r="F2" s="10" t="s">
        <v>20</v>
      </c>
      <c r="G2" s="10" t="s">
        <v>21</v>
      </c>
      <c r="H2" s="10" t="s">
        <v>108</v>
      </c>
      <c r="I2" s="10" t="s">
        <v>97</v>
      </c>
      <c r="J2" s="10">
        <v>24</v>
      </c>
      <c r="K2" s="10">
        <v>117</v>
      </c>
      <c r="L2" s="10">
        <v>31</v>
      </c>
      <c r="M2" s="10">
        <v>129</v>
      </c>
      <c r="N2" s="10" t="s">
        <v>146</v>
      </c>
    </row>
    <row r="3" spans="1:20" x14ac:dyDescent="0.2">
      <c r="A3" s="10" t="s">
        <v>95</v>
      </c>
      <c r="B3" s="10">
        <v>2018</v>
      </c>
      <c r="C3" s="11">
        <v>0.97</v>
      </c>
      <c r="D3" s="11">
        <v>0.57999999999999996</v>
      </c>
      <c r="E3" s="11">
        <v>1.62</v>
      </c>
      <c r="F3" s="10" t="s">
        <v>20</v>
      </c>
      <c r="G3" s="10" t="s">
        <v>21</v>
      </c>
      <c r="H3" s="10" t="s">
        <v>108</v>
      </c>
      <c r="I3" s="10" t="s">
        <v>97</v>
      </c>
      <c r="J3" s="10">
        <v>43</v>
      </c>
      <c r="K3" s="10">
        <f>49+59</f>
        <v>108</v>
      </c>
      <c r="L3" s="10">
        <v>36</v>
      </c>
      <c r="M3" s="10">
        <f>42+64</f>
        <v>106</v>
      </c>
      <c r="N3" s="10">
        <v>29384722</v>
      </c>
    </row>
    <row r="4" spans="1:20" s="21" customFormat="1" x14ac:dyDescent="0.2">
      <c r="A4" s="21" t="s">
        <v>96</v>
      </c>
      <c r="B4" s="21">
        <v>2023</v>
      </c>
      <c r="C4" s="21">
        <v>0.71</v>
      </c>
      <c r="D4" s="21">
        <v>0.52</v>
      </c>
      <c r="E4" s="21">
        <v>0.98</v>
      </c>
      <c r="F4" s="21" t="s">
        <v>20</v>
      </c>
      <c r="G4" s="21" t="s">
        <v>21</v>
      </c>
      <c r="H4" s="21" t="s">
        <v>108</v>
      </c>
      <c r="I4" s="21" t="s">
        <v>97</v>
      </c>
      <c r="J4" s="21">
        <v>68</v>
      </c>
      <c r="K4" s="21">
        <v>228</v>
      </c>
      <c r="L4" s="21">
        <v>85</v>
      </c>
      <c r="M4" s="21">
        <v>214</v>
      </c>
      <c r="N4" s="21">
        <v>36990608</v>
      </c>
    </row>
    <row r="5" spans="1:20" x14ac:dyDescent="0.2">
      <c r="A5" s="10" t="s">
        <v>98</v>
      </c>
      <c r="B5" s="10">
        <v>2015</v>
      </c>
      <c r="C5" s="10">
        <v>0.83</v>
      </c>
      <c r="D5" s="10">
        <v>0.47</v>
      </c>
      <c r="E5" s="10">
        <v>1.47</v>
      </c>
      <c r="F5" s="10" t="s">
        <v>20</v>
      </c>
      <c r="G5" s="10" t="s">
        <v>21</v>
      </c>
      <c r="H5" s="10" t="s">
        <v>108</v>
      </c>
      <c r="I5" s="10">
        <v>69</v>
      </c>
      <c r="J5" s="10" t="s">
        <v>97</v>
      </c>
      <c r="K5" s="10" t="s">
        <v>97</v>
      </c>
      <c r="L5" s="10" t="s">
        <v>97</v>
      </c>
      <c r="M5" s="10" t="s">
        <v>97</v>
      </c>
      <c r="N5" s="13">
        <v>26610858</v>
      </c>
    </row>
    <row r="6" spans="1:20" x14ac:dyDescent="0.2">
      <c r="A6" s="10" t="s">
        <v>103</v>
      </c>
      <c r="B6" s="10">
        <v>2019</v>
      </c>
      <c r="C6" s="10">
        <v>0.4</v>
      </c>
      <c r="D6" s="10">
        <v>0.15</v>
      </c>
      <c r="E6" s="10">
        <v>1.03</v>
      </c>
      <c r="F6" s="10" t="s">
        <v>20</v>
      </c>
      <c r="G6" s="10" t="s">
        <v>21</v>
      </c>
      <c r="H6" s="10" t="s">
        <v>108</v>
      </c>
      <c r="I6" s="10" t="s">
        <v>97</v>
      </c>
      <c r="J6" s="10">
        <v>20</v>
      </c>
      <c r="K6" s="10">
        <v>85</v>
      </c>
      <c r="L6" s="10">
        <v>11</v>
      </c>
      <c r="M6" s="10">
        <v>59</v>
      </c>
      <c r="N6" s="15">
        <v>31150574</v>
      </c>
    </row>
    <row r="7" spans="1:20" x14ac:dyDescent="0.2">
      <c r="A7" s="10" t="s">
        <v>93</v>
      </c>
      <c r="B7" s="10">
        <v>2022</v>
      </c>
      <c r="C7" s="11">
        <v>0.63</v>
      </c>
      <c r="D7" s="11">
        <v>0.5</v>
      </c>
      <c r="E7" s="11">
        <v>0.79</v>
      </c>
      <c r="F7" s="10" t="s">
        <v>20</v>
      </c>
      <c r="G7" s="10" t="s">
        <v>21</v>
      </c>
      <c r="H7" s="10" t="s">
        <v>109</v>
      </c>
      <c r="I7" s="10">
        <v>49.7</v>
      </c>
      <c r="J7" s="10">
        <v>127</v>
      </c>
      <c r="K7" s="10">
        <v>448</v>
      </c>
      <c r="L7" s="10">
        <v>170</v>
      </c>
      <c r="M7" s="10">
        <v>442</v>
      </c>
      <c r="N7" s="10" t="s">
        <v>146</v>
      </c>
    </row>
    <row r="8" spans="1:20" x14ac:dyDescent="0.2">
      <c r="A8" s="10" t="s">
        <v>95</v>
      </c>
      <c r="B8" s="10">
        <v>2018</v>
      </c>
      <c r="C8" s="11">
        <v>0.68</v>
      </c>
      <c r="D8" s="11">
        <v>0.54</v>
      </c>
      <c r="E8" s="11">
        <v>0.85</v>
      </c>
      <c r="F8" s="10" t="s">
        <v>20</v>
      </c>
      <c r="G8" s="10" t="s">
        <v>21</v>
      </c>
      <c r="H8" s="10" t="s">
        <v>109</v>
      </c>
      <c r="I8" s="10" t="s">
        <v>97</v>
      </c>
      <c r="J8" s="10">
        <v>145</v>
      </c>
      <c r="K8" s="10">
        <f>214+75</f>
        <v>289</v>
      </c>
      <c r="L8" s="10">
        <f>141+34</f>
        <v>175</v>
      </c>
      <c r="M8" s="10">
        <f>207+79</f>
        <v>286</v>
      </c>
      <c r="N8" s="10">
        <v>29384722</v>
      </c>
    </row>
    <row r="9" spans="1:20" s="21" customFormat="1" x14ac:dyDescent="0.2">
      <c r="A9" s="21" t="s">
        <v>96</v>
      </c>
      <c r="B9" s="21">
        <v>2023</v>
      </c>
      <c r="C9" s="21">
        <v>0.7</v>
      </c>
      <c r="D9" s="21">
        <v>0.56000000000000005</v>
      </c>
      <c r="E9" s="21">
        <v>0.87</v>
      </c>
      <c r="F9" s="21" t="s">
        <v>20</v>
      </c>
      <c r="G9" s="21" t="s">
        <v>21</v>
      </c>
      <c r="H9" s="21" t="s">
        <v>109</v>
      </c>
      <c r="I9" s="21" t="s">
        <v>97</v>
      </c>
      <c r="J9" s="21">
        <v>140</v>
      </c>
      <c r="K9" s="21">
        <v>335</v>
      </c>
      <c r="L9" s="21">
        <v>183</v>
      </c>
      <c r="M9" s="21">
        <v>348</v>
      </c>
      <c r="N9" s="21">
        <v>36990608</v>
      </c>
    </row>
    <row r="10" spans="1:20" x14ac:dyDescent="0.2">
      <c r="A10" s="10" t="s">
        <v>98</v>
      </c>
      <c r="B10" s="10">
        <v>2015</v>
      </c>
      <c r="C10" s="10">
        <v>0.93</v>
      </c>
      <c r="D10" s="10">
        <v>0.69</v>
      </c>
      <c r="E10" s="10">
        <v>1.25</v>
      </c>
      <c r="F10" s="10" t="s">
        <v>20</v>
      </c>
      <c r="G10" s="10" t="s">
        <v>21</v>
      </c>
      <c r="H10" s="10" t="s">
        <v>109</v>
      </c>
      <c r="I10" s="10">
        <v>41.5</v>
      </c>
      <c r="J10" s="10" t="s">
        <v>97</v>
      </c>
      <c r="K10" s="10" t="s">
        <v>97</v>
      </c>
      <c r="L10" s="10" t="s">
        <v>97</v>
      </c>
      <c r="M10" s="10" t="s">
        <v>97</v>
      </c>
      <c r="N10" s="13">
        <v>26610858</v>
      </c>
    </row>
    <row r="11" spans="1:20" x14ac:dyDescent="0.2">
      <c r="A11" s="16" t="s">
        <v>99</v>
      </c>
      <c r="B11" s="10">
        <v>2019</v>
      </c>
      <c r="C11" s="16">
        <v>0.66</v>
      </c>
      <c r="D11" s="16">
        <v>0.56000000000000005</v>
      </c>
      <c r="E11" s="16">
        <v>0.78</v>
      </c>
      <c r="F11" s="10" t="s">
        <v>20</v>
      </c>
      <c r="G11" s="10" t="s">
        <v>21</v>
      </c>
      <c r="H11" s="10" t="s">
        <v>109</v>
      </c>
      <c r="I11" s="10">
        <v>36.5</v>
      </c>
      <c r="J11" s="10">
        <v>275</v>
      </c>
      <c r="K11" s="10">
        <v>597</v>
      </c>
      <c r="L11" s="10">
        <v>343</v>
      </c>
      <c r="M11" s="10">
        <v>602</v>
      </c>
      <c r="N11" s="10">
        <v>30987939</v>
      </c>
    </row>
    <row r="12" spans="1:20" x14ac:dyDescent="0.2">
      <c r="A12" s="10" t="s">
        <v>101</v>
      </c>
      <c r="B12" s="10">
        <v>2019</v>
      </c>
      <c r="C12" s="10">
        <v>0.59</v>
      </c>
      <c r="D12" s="10">
        <v>0.47</v>
      </c>
      <c r="E12" s="10">
        <v>0.74</v>
      </c>
      <c r="F12" s="10" t="s">
        <v>20</v>
      </c>
      <c r="G12" s="10" t="s">
        <v>21</v>
      </c>
      <c r="H12" s="10" t="s">
        <v>109</v>
      </c>
      <c r="I12" s="10" t="s">
        <v>97</v>
      </c>
      <c r="J12" s="10">
        <v>130</v>
      </c>
      <c r="K12" s="10">
        <v>428</v>
      </c>
      <c r="L12" s="10">
        <v>192</v>
      </c>
      <c r="M12" s="10">
        <v>431</v>
      </c>
      <c r="N12" s="10">
        <v>31447077</v>
      </c>
    </row>
    <row r="13" spans="1:20" x14ac:dyDescent="0.2">
      <c r="A13" s="10" t="s">
        <v>103</v>
      </c>
      <c r="B13" s="10">
        <v>2019</v>
      </c>
      <c r="C13" s="10">
        <v>0.72</v>
      </c>
      <c r="D13" s="10">
        <v>0.53</v>
      </c>
      <c r="E13" s="10">
        <v>0.98</v>
      </c>
      <c r="F13" s="10" t="s">
        <v>20</v>
      </c>
      <c r="G13" s="10" t="s">
        <v>21</v>
      </c>
      <c r="H13" s="10" t="s">
        <v>109</v>
      </c>
      <c r="I13" s="10" t="s">
        <v>97</v>
      </c>
      <c r="J13" s="10">
        <v>140</v>
      </c>
      <c r="K13" s="10">
        <v>411</v>
      </c>
      <c r="L13" s="10">
        <v>101</v>
      </c>
      <c r="M13" s="10">
        <v>441</v>
      </c>
      <c r="N13" s="15">
        <v>31150574</v>
      </c>
    </row>
    <row r="14" spans="1:20" x14ac:dyDescent="0.2">
      <c r="P14" s="12"/>
    </row>
    <row r="16" spans="1:20" x14ac:dyDescent="0.2">
      <c r="P16" s="15"/>
    </row>
    <row r="19" spans="16:16" x14ac:dyDescent="0.2">
      <c r="P19" s="13"/>
    </row>
  </sheetData>
  <conditionalFormatting sqref="O9">
    <cfRule type="duplicateValues" dxfId="65" priority="4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9"/>
  <sheetViews>
    <sheetView zoomScaleNormal="100" workbookViewId="0">
      <selection activeCell="J19" sqref="J19"/>
    </sheetView>
  </sheetViews>
  <sheetFormatPr baseColWidth="10" defaultColWidth="9.1640625" defaultRowHeight="13" x14ac:dyDescent="0.2"/>
  <cols>
    <col min="1" max="16384" width="9.1640625" style="10"/>
  </cols>
  <sheetData>
    <row r="1" spans="1:20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47</v>
      </c>
      <c r="I1" s="11" t="s">
        <v>83</v>
      </c>
      <c r="J1" s="11" t="s">
        <v>85</v>
      </c>
      <c r="K1" s="11" t="s">
        <v>110</v>
      </c>
      <c r="L1" s="11" t="s">
        <v>84</v>
      </c>
      <c r="M1" s="11" t="s">
        <v>111</v>
      </c>
      <c r="N1" s="10" t="s">
        <v>86</v>
      </c>
      <c r="O1" s="10" t="s">
        <v>87</v>
      </c>
      <c r="P1" s="10" t="s">
        <v>88</v>
      </c>
      <c r="Q1" s="10" t="s">
        <v>89</v>
      </c>
      <c r="R1" s="10" t="s">
        <v>90</v>
      </c>
      <c r="S1" s="10" t="s">
        <v>91</v>
      </c>
      <c r="T1" s="10" t="s">
        <v>92</v>
      </c>
    </row>
    <row r="2" spans="1:20" x14ac:dyDescent="0.2">
      <c r="A2" s="10" t="s">
        <v>93</v>
      </c>
      <c r="B2" s="10">
        <v>2021</v>
      </c>
      <c r="C2" s="11">
        <v>0.42</v>
      </c>
      <c r="D2" s="11">
        <v>0.23</v>
      </c>
      <c r="E2" s="11">
        <v>0.76</v>
      </c>
      <c r="F2" s="10" t="s">
        <v>20</v>
      </c>
      <c r="G2" s="10" t="s">
        <v>21</v>
      </c>
      <c r="H2" s="10" t="s">
        <v>108</v>
      </c>
      <c r="I2" s="10" t="s">
        <v>97</v>
      </c>
      <c r="J2" s="10">
        <v>16</v>
      </c>
      <c r="K2" s="10">
        <v>117</v>
      </c>
      <c r="L2" s="10">
        <v>34</v>
      </c>
      <c r="M2" s="10">
        <v>129</v>
      </c>
      <c r="N2" s="10" t="s">
        <v>145</v>
      </c>
    </row>
    <row r="3" spans="1:20" s="21" customFormat="1" x14ac:dyDescent="0.2">
      <c r="A3" s="21" t="s">
        <v>96</v>
      </c>
      <c r="B3" s="21">
        <v>2023</v>
      </c>
      <c r="C3" s="21">
        <v>0.45</v>
      </c>
      <c r="D3" s="21">
        <v>0.34</v>
      </c>
      <c r="E3" s="21">
        <v>0.57999999999999996</v>
      </c>
      <c r="F3" s="21" t="s">
        <v>20</v>
      </c>
      <c r="G3" s="21" t="s">
        <v>21</v>
      </c>
      <c r="H3" s="21" t="s">
        <v>108</v>
      </c>
      <c r="I3" s="21" t="s">
        <v>97</v>
      </c>
      <c r="J3" s="21">
        <v>91</v>
      </c>
      <c r="K3" s="21">
        <v>228</v>
      </c>
      <c r="L3" s="21">
        <v>143</v>
      </c>
      <c r="M3" s="21">
        <v>214</v>
      </c>
      <c r="N3" s="21">
        <v>36990608</v>
      </c>
    </row>
    <row r="4" spans="1:20" x14ac:dyDescent="0.2">
      <c r="A4" s="10" t="s">
        <v>103</v>
      </c>
      <c r="B4" s="10">
        <v>2019</v>
      </c>
      <c r="C4" s="10">
        <v>0.41</v>
      </c>
      <c r="D4" s="10">
        <v>0.22</v>
      </c>
      <c r="E4" s="10">
        <v>0.78</v>
      </c>
      <c r="F4" s="10" t="s">
        <v>20</v>
      </c>
      <c r="G4" s="10" t="s">
        <v>21</v>
      </c>
      <c r="H4" s="10" t="s">
        <v>108</v>
      </c>
      <c r="I4" s="10" t="s">
        <v>97</v>
      </c>
      <c r="J4" s="10">
        <v>17</v>
      </c>
      <c r="K4" s="10">
        <v>85</v>
      </c>
      <c r="L4" s="10">
        <v>23</v>
      </c>
      <c r="M4" s="10">
        <v>59</v>
      </c>
      <c r="N4" s="10">
        <v>31150574</v>
      </c>
    </row>
    <row r="5" spans="1:20" x14ac:dyDescent="0.2">
      <c r="A5" s="10" t="s">
        <v>93</v>
      </c>
      <c r="B5" s="10">
        <v>2021</v>
      </c>
      <c r="C5" s="10">
        <v>0.38</v>
      </c>
      <c r="D5" s="10">
        <v>0.28999999999999998</v>
      </c>
      <c r="E5" s="10">
        <v>0.5</v>
      </c>
      <c r="F5" s="10" t="s">
        <v>20</v>
      </c>
      <c r="G5" s="10" t="s">
        <v>21</v>
      </c>
      <c r="H5" s="10" t="s">
        <v>109</v>
      </c>
      <c r="I5" s="10" t="s">
        <v>97</v>
      </c>
      <c r="J5" s="10">
        <v>73</v>
      </c>
      <c r="K5" s="10">
        <v>448</v>
      </c>
      <c r="L5" s="10">
        <v>166</v>
      </c>
      <c r="M5" s="10">
        <v>442</v>
      </c>
      <c r="N5" s="10" t="s">
        <v>145</v>
      </c>
    </row>
    <row r="6" spans="1:20" s="21" customFormat="1" x14ac:dyDescent="0.2">
      <c r="A6" s="21" t="s">
        <v>96</v>
      </c>
      <c r="B6" s="21">
        <v>2023</v>
      </c>
      <c r="C6" s="21">
        <v>0.45</v>
      </c>
      <c r="D6" s="21">
        <v>0.37</v>
      </c>
      <c r="E6" s="21">
        <v>0.55000000000000004</v>
      </c>
      <c r="F6" s="21" t="s">
        <v>20</v>
      </c>
      <c r="G6" s="21" t="s">
        <v>21</v>
      </c>
      <c r="H6" s="21" t="s">
        <v>109</v>
      </c>
      <c r="I6" s="21" t="s">
        <v>97</v>
      </c>
      <c r="J6" s="21">
        <v>177</v>
      </c>
      <c r="K6" s="21">
        <v>335</v>
      </c>
      <c r="L6" s="21">
        <v>270</v>
      </c>
      <c r="M6" s="21">
        <v>348</v>
      </c>
      <c r="N6" s="21">
        <v>36990608</v>
      </c>
    </row>
    <row r="7" spans="1:20" x14ac:dyDescent="0.2">
      <c r="A7" s="10" t="s">
        <v>99</v>
      </c>
      <c r="B7" s="10">
        <v>2019</v>
      </c>
      <c r="C7" s="10">
        <v>0.57999999999999996</v>
      </c>
      <c r="D7" s="10">
        <v>0.49</v>
      </c>
      <c r="E7" s="10">
        <v>0.68</v>
      </c>
      <c r="F7" s="10" t="s">
        <v>20</v>
      </c>
      <c r="G7" s="10" t="s">
        <v>21</v>
      </c>
      <c r="H7" s="10" t="s">
        <v>109</v>
      </c>
      <c r="I7" s="10">
        <v>30.1</v>
      </c>
      <c r="J7" s="10">
        <v>267</v>
      </c>
      <c r="K7" s="10">
        <v>597</v>
      </c>
      <c r="L7" s="10">
        <v>336</v>
      </c>
      <c r="M7" s="10">
        <v>602</v>
      </c>
      <c r="N7" s="13">
        <v>30987939</v>
      </c>
    </row>
    <row r="8" spans="1:20" x14ac:dyDescent="0.2">
      <c r="A8" s="10" t="s">
        <v>101</v>
      </c>
      <c r="B8" s="10">
        <v>2019</v>
      </c>
      <c r="C8" s="10">
        <v>0.59</v>
      </c>
      <c r="D8" s="10">
        <v>0.47</v>
      </c>
      <c r="E8" s="10">
        <v>0.74</v>
      </c>
      <c r="F8" s="10" t="s">
        <v>20</v>
      </c>
      <c r="G8" s="10" t="s">
        <v>21</v>
      </c>
      <c r="H8" s="10" t="s">
        <v>109</v>
      </c>
      <c r="I8" s="10" t="s">
        <v>97</v>
      </c>
      <c r="J8" s="10">
        <v>150</v>
      </c>
      <c r="K8" s="10">
        <v>428</v>
      </c>
      <c r="L8" s="10">
        <v>258</v>
      </c>
      <c r="M8" s="10">
        <v>431</v>
      </c>
      <c r="N8" s="10">
        <v>31447077</v>
      </c>
    </row>
    <row r="9" spans="1:20" x14ac:dyDescent="0.2">
      <c r="A9" s="10" t="s">
        <v>103</v>
      </c>
      <c r="B9" s="10">
        <v>2019</v>
      </c>
      <c r="C9" s="10">
        <v>0.49</v>
      </c>
      <c r="D9" s="10">
        <v>0.39</v>
      </c>
      <c r="E9" s="10">
        <v>0.63</v>
      </c>
      <c r="F9" s="10" t="s">
        <v>20</v>
      </c>
      <c r="G9" s="10" t="s">
        <v>21</v>
      </c>
      <c r="H9" s="10" t="s">
        <v>109</v>
      </c>
      <c r="I9" s="10">
        <v>22</v>
      </c>
      <c r="J9" s="10">
        <v>108</v>
      </c>
      <c r="K9" s="10">
        <v>411</v>
      </c>
      <c r="L9" s="10">
        <v>196</v>
      </c>
      <c r="M9" s="10">
        <v>411</v>
      </c>
      <c r="N9" s="10">
        <v>31150574</v>
      </c>
    </row>
    <row r="14" spans="1:20" x14ac:dyDescent="0.2">
      <c r="P14" s="12"/>
    </row>
    <row r="16" spans="1:20" x14ac:dyDescent="0.2">
      <c r="P16" s="15"/>
    </row>
    <row r="19" spans="16:16" x14ac:dyDescent="0.2">
      <c r="P19" s="13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7"/>
  <sheetViews>
    <sheetView zoomScale="95" zoomScaleNormal="95" workbookViewId="0">
      <pane xSplit="1" topLeftCell="G1" activePane="topRight" state="frozen"/>
      <selection pane="topRight" activeCell="N7" sqref="N7"/>
    </sheetView>
  </sheetViews>
  <sheetFormatPr baseColWidth="10" defaultColWidth="9.1640625" defaultRowHeight="13" x14ac:dyDescent="0.2"/>
  <cols>
    <col min="1" max="1" width="9.1640625" style="10"/>
    <col min="2" max="5" width="9.33203125" style="10" customWidth="1"/>
    <col min="6" max="10" width="9.1640625" style="10"/>
    <col min="11" max="12" width="9.33203125" style="10" customWidth="1"/>
    <col min="13" max="13" width="10.5" style="10" customWidth="1"/>
    <col min="14" max="16384" width="9.1640625" style="10"/>
  </cols>
  <sheetData>
    <row r="1" spans="1:14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83</v>
      </c>
      <c r="I1" s="11" t="s">
        <v>85</v>
      </c>
      <c r="J1" s="11" t="s">
        <v>110</v>
      </c>
      <c r="K1" s="11" t="s">
        <v>84</v>
      </c>
      <c r="L1" s="11" t="s">
        <v>111</v>
      </c>
      <c r="M1" s="10" t="s">
        <v>86</v>
      </c>
      <c r="N1" s="10" t="s">
        <v>92</v>
      </c>
    </row>
    <row r="2" spans="1:14" x14ac:dyDescent="0.2">
      <c r="A2" s="10" t="s">
        <v>93</v>
      </c>
      <c r="B2" s="10">
        <v>2022</v>
      </c>
      <c r="C2" s="11">
        <v>0.71</v>
      </c>
      <c r="D2" s="11">
        <v>0.41</v>
      </c>
      <c r="E2" s="11">
        <v>1.21</v>
      </c>
      <c r="F2" s="10" t="s">
        <v>20</v>
      </c>
      <c r="G2" s="10" t="s">
        <v>21</v>
      </c>
      <c r="H2" s="10" t="s">
        <v>97</v>
      </c>
      <c r="I2" s="10">
        <v>24</v>
      </c>
      <c r="J2" s="10">
        <v>117</v>
      </c>
      <c r="K2" s="10">
        <v>31</v>
      </c>
      <c r="L2" s="10">
        <v>129</v>
      </c>
      <c r="M2" s="10" t="s">
        <v>146</v>
      </c>
      <c r="N2" s="10" t="s">
        <v>188</v>
      </c>
    </row>
    <row r="3" spans="1:14" x14ac:dyDescent="0.2">
      <c r="A3" s="10" t="s">
        <v>95</v>
      </c>
      <c r="B3" s="10">
        <v>2018</v>
      </c>
      <c r="C3" s="11">
        <v>0.97</v>
      </c>
      <c r="D3" s="11">
        <v>0.57999999999999996</v>
      </c>
      <c r="E3" s="11">
        <v>1.62</v>
      </c>
      <c r="F3" s="10" t="s">
        <v>20</v>
      </c>
      <c r="G3" s="10" t="s">
        <v>21</v>
      </c>
      <c r="H3" s="10" t="s">
        <v>97</v>
      </c>
      <c r="I3" s="10">
        <v>43</v>
      </c>
      <c r="J3" s="10">
        <f>49+59</f>
        <v>108</v>
      </c>
      <c r="K3" s="10">
        <v>36</v>
      </c>
      <c r="L3" s="10">
        <v>106</v>
      </c>
      <c r="M3" s="10">
        <v>29384722</v>
      </c>
      <c r="N3" s="10" t="s">
        <v>188</v>
      </c>
    </row>
    <row r="4" spans="1:14" s="21" customFormat="1" x14ac:dyDescent="0.2">
      <c r="A4" s="21" t="s">
        <v>96</v>
      </c>
      <c r="B4" s="21">
        <v>2023</v>
      </c>
      <c r="C4" s="21">
        <v>0.71</v>
      </c>
      <c r="D4" s="21">
        <v>0.52</v>
      </c>
      <c r="E4" s="21">
        <v>0.98</v>
      </c>
      <c r="F4" s="21" t="s">
        <v>20</v>
      </c>
      <c r="G4" s="21" t="s">
        <v>21</v>
      </c>
      <c r="H4" s="21" t="s">
        <v>97</v>
      </c>
      <c r="I4" s="21">
        <v>68</v>
      </c>
      <c r="J4" s="21">
        <v>228</v>
      </c>
      <c r="K4" s="21">
        <v>85</v>
      </c>
      <c r="L4" s="21">
        <v>214</v>
      </c>
      <c r="M4" s="21">
        <v>36990608</v>
      </c>
      <c r="N4" s="21" t="s">
        <v>188</v>
      </c>
    </row>
    <row r="5" spans="1:14" x14ac:dyDescent="0.2">
      <c r="A5" s="10" t="s">
        <v>98</v>
      </c>
      <c r="B5" s="10">
        <v>2015</v>
      </c>
      <c r="C5" s="10">
        <v>0.83</v>
      </c>
      <c r="D5" s="10">
        <v>0.47</v>
      </c>
      <c r="E5" s="10">
        <v>1.47</v>
      </c>
      <c r="F5" s="10" t="s">
        <v>20</v>
      </c>
      <c r="G5" s="10" t="s">
        <v>21</v>
      </c>
      <c r="H5" s="10">
        <v>69</v>
      </c>
      <c r="I5" s="10" t="s">
        <v>97</v>
      </c>
      <c r="J5" s="10" t="s">
        <v>97</v>
      </c>
      <c r="K5" s="10" t="s">
        <v>97</v>
      </c>
      <c r="L5" s="10" t="s">
        <v>97</v>
      </c>
      <c r="M5" s="13">
        <v>26610858</v>
      </c>
      <c r="N5" s="10" t="s">
        <v>188</v>
      </c>
    </row>
    <row r="6" spans="1:14" x14ac:dyDescent="0.2">
      <c r="A6" s="10" t="s">
        <v>103</v>
      </c>
      <c r="B6" s="10">
        <v>2019</v>
      </c>
      <c r="C6" s="10">
        <v>0.39</v>
      </c>
      <c r="D6" s="10">
        <v>0.22</v>
      </c>
      <c r="E6" s="10">
        <v>0.69</v>
      </c>
      <c r="F6" s="10" t="s">
        <v>20</v>
      </c>
      <c r="G6" s="10" t="s">
        <v>21</v>
      </c>
      <c r="H6" s="10" t="s">
        <v>97</v>
      </c>
      <c r="I6" s="10">
        <v>20</v>
      </c>
      <c r="J6" s="10">
        <v>85</v>
      </c>
      <c r="K6" s="10">
        <v>29</v>
      </c>
      <c r="L6" s="10">
        <v>59</v>
      </c>
      <c r="M6" s="15" t="s">
        <v>147</v>
      </c>
      <c r="N6" s="10" t="s">
        <v>188</v>
      </c>
    </row>
    <row r="7" spans="1:14" x14ac:dyDescent="0.2">
      <c r="M7" s="13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5"/>
  <sheetViews>
    <sheetView zoomScale="83" zoomScaleNormal="83" workbookViewId="0">
      <pane xSplit="1" topLeftCell="I1" activePane="topRight" state="frozen"/>
      <selection pane="topRight" activeCell="N9" sqref="N9"/>
    </sheetView>
  </sheetViews>
  <sheetFormatPr baseColWidth="10" defaultColWidth="9.1640625" defaultRowHeight="13" x14ac:dyDescent="0.2"/>
  <cols>
    <col min="1" max="1" width="18.6640625" style="10" customWidth="1"/>
    <col min="2" max="5" width="9.33203125" style="10" customWidth="1"/>
    <col min="6" max="10" width="9.1640625" style="10"/>
    <col min="11" max="12" width="9.33203125" style="10" customWidth="1"/>
    <col min="13" max="13" width="10.5" style="10" customWidth="1"/>
    <col min="14" max="16384" width="9.1640625" style="10"/>
  </cols>
  <sheetData>
    <row r="1" spans="1:14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83</v>
      </c>
      <c r="I1" s="11" t="s">
        <v>85</v>
      </c>
      <c r="J1" s="11" t="s">
        <v>110</v>
      </c>
      <c r="K1" s="11" t="s">
        <v>84</v>
      </c>
      <c r="L1" s="11" t="s">
        <v>111</v>
      </c>
      <c r="M1" s="10" t="s">
        <v>86</v>
      </c>
      <c r="N1" s="10" t="s">
        <v>92</v>
      </c>
    </row>
    <row r="2" spans="1:14" x14ac:dyDescent="0.2">
      <c r="A2" s="10" t="s">
        <v>93</v>
      </c>
      <c r="B2" s="10">
        <v>2022</v>
      </c>
      <c r="C2" s="11">
        <v>0.63</v>
      </c>
      <c r="D2" s="11">
        <v>0.5</v>
      </c>
      <c r="E2" s="11">
        <v>0.79</v>
      </c>
      <c r="F2" s="10" t="s">
        <v>20</v>
      </c>
      <c r="G2" s="10" t="s">
        <v>21</v>
      </c>
      <c r="H2" s="10">
        <v>49.7</v>
      </c>
      <c r="I2" s="10">
        <v>127</v>
      </c>
      <c r="J2" s="10">
        <v>448</v>
      </c>
      <c r="K2" s="10">
        <v>170</v>
      </c>
      <c r="L2" s="10">
        <v>442</v>
      </c>
      <c r="M2" s="10" t="s">
        <v>146</v>
      </c>
      <c r="N2" s="10" t="s">
        <v>188</v>
      </c>
    </row>
    <row r="3" spans="1:14" x14ac:dyDescent="0.2">
      <c r="A3" s="10" t="s">
        <v>95</v>
      </c>
      <c r="B3" s="10">
        <v>2018</v>
      </c>
      <c r="C3" s="11">
        <v>0.68</v>
      </c>
      <c r="D3" s="11">
        <v>0.54</v>
      </c>
      <c r="E3" s="11">
        <v>0.85</v>
      </c>
      <c r="F3" s="10" t="s">
        <v>20</v>
      </c>
      <c r="G3" s="10" t="s">
        <v>21</v>
      </c>
      <c r="H3" s="10" t="s">
        <v>97</v>
      </c>
      <c r="I3" s="10">
        <v>145</v>
      </c>
      <c r="J3" s="10">
        <f>214+75</f>
        <v>289</v>
      </c>
      <c r="K3" s="10">
        <v>175</v>
      </c>
      <c r="L3" s="10">
        <v>286</v>
      </c>
      <c r="M3" s="10">
        <v>29384722</v>
      </c>
      <c r="N3" s="10" t="s">
        <v>188</v>
      </c>
    </row>
    <row r="4" spans="1:14" s="21" customFormat="1" x14ac:dyDescent="0.2">
      <c r="A4" s="21" t="s">
        <v>96</v>
      </c>
      <c r="B4" s="21">
        <v>2023</v>
      </c>
      <c r="C4" s="21">
        <v>0.7</v>
      </c>
      <c r="D4" s="21">
        <v>0.56000000000000005</v>
      </c>
      <c r="E4" s="21">
        <v>0.87</v>
      </c>
      <c r="F4" s="21" t="s">
        <v>20</v>
      </c>
      <c r="G4" s="21" t="s">
        <v>21</v>
      </c>
      <c r="H4" s="21" t="s">
        <v>97</v>
      </c>
      <c r="I4" s="21">
        <v>140</v>
      </c>
      <c r="J4" s="21">
        <v>335</v>
      </c>
      <c r="K4" s="21">
        <v>183</v>
      </c>
      <c r="L4" s="21">
        <v>348</v>
      </c>
      <c r="M4" s="21">
        <v>36990608</v>
      </c>
      <c r="N4" s="21" t="s">
        <v>188</v>
      </c>
    </row>
    <row r="5" spans="1:14" x14ac:dyDescent="0.2">
      <c r="A5" s="10" t="s">
        <v>98</v>
      </c>
      <c r="B5" s="10">
        <v>2015</v>
      </c>
      <c r="C5" s="10">
        <v>0.93</v>
      </c>
      <c r="D5" s="10">
        <v>0.69</v>
      </c>
      <c r="E5" s="10">
        <v>1.25</v>
      </c>
      <c r="F5" s="10" t="s">
        <v>20</v>
      </c>
      <c r="G5" s="10" t="s">
        <v>21</v>
      </c>
      <c r="H5" s="10">
        <v>41.5</v>
      </c>
      <c r="I5" s="10" t="s">
        <v>97</v>
      </c>
      <c r="J5" s="10" t="s">
        <v>97</v>
      </c>
      <c r="K5" s="10" t="s">
        <v>97</v>
      </c>
      <c r="L5" s="10" t="s">
        <v>97</v>
      </c>
      <c r="M5" s="13">
        <v>26610858</v>
      </c>
      <c r="N5" s="10" t="s">
        <v>188</v>
      </c>
    </row>
    <row r="6" spans="1:14" x14ac:dyDescent="0.2">
      <c r="A6" s="16" t="s">
        <v>99</v>
      </c>
      <c r="B6" s="10">
        <v>2019</v>
      </c>
      <c r="C6" s="16">
        <v>0.66</v>
      </c>
      <c r="D6" s="16">
        <v>0.56000000000000005</v>
      </c>
      <c r="E6" s="16">
        <v>0.78</v>
      </c>
      <c r="F6" s="10" t="s">
        <v>20</v>
      </c>
      <c r="G6" s="10" t="s">
        <v>21</v>
      </c>
      <c r="H6" s="10">
        <v>36.5</v>
      </c>
      <c r="I6" s="10">
        <v>275</v>
      </c>
      <c r="J6" s="10">
        <v>597</v>
      </c>
      <c r="K6" s="10">
        <v>343</v>
      </c>
      <c r="L6" s="10">
        <v>602</v>
      </c>
      <c r="M6" s="10">
        <v>30987939</v>
      </c>
      <c r="N6" s="10" t="s">
        <v>188</v>
      </c>
    </row>
    <row r="7" spans="1:14" x14ac:dyDescent="0.2">
      <c r="A7" s="10" t="s">
        <v>101</v>
      </c>
      <c r="B7" s="10">
        <v>2019</v>
      </c>
      <c r="C7" s="10">
        <v>0.59</v>
      </c>
      <c r="D7" s="10">
        <v>0.47</v>
      </c>
      <c r="E7" s="10">
        <v>0.74</v>
      </c>
      <c r="F7" s="10" t="s">
        <v>20</v>
      </c>
      <c r="G7" s="10" t="s">
        <v>21</v>
      </c>
      <c r="H7" s="10" t="s">
        <v>97</v>
      </c>
      <c r="I7" s="10">
        <v>130</v>
      </c>
      <c r="J7" s="10">
        <v>428</v>
      </c>
      <c r="K7" s="10">
        <v>192</v>
      </c>
      <c r="L7" s="10">
        <v>431</v>
      </c>
      <c r="M7" s="10">
        <v>31447077</v>
      </c>
      <c r="N7" s="10" t="s">
        <v>188</v>
      </c>
    </row>
    <row r="8" spans="1:14" x14ac:dyDescent="0.2">
      <c r="A8" s="10" t="s">
        <v>103</v>
      </c>
      <c r="B8" s="10">
        <v>2019</v>
      </c>
      <c r="C8" s="10">
        <v>0.68</v>
      </c>
      <c r="D8" s="10">
        <v>0.55000000000000004</v>
      </c>
      <c r="E8" s="10">
        <v>0.85</v>
      </c>
      <c r="F8" s="10" t="s">
        <v>20</v>
      </c>
      <c r="G8" s="10" t="s">
        <v>21</v>
      </c>
      <c r="H8" s="10" t="s">
        <v>97</v>
      </c>
      <c r="I8" s="10">
        <v>140</v>
      </c>
      <c r="J8" s="10">
        <v>411</v>
      </c>
      <c r="K8" s="10">
        <v>199</v>
      </c>
      <c r="L8" s="10">
        <v>441</v>
      </c>
      <c r="M8" s="15" t="s">
        <v>147</v>
      </c>
      <c r="N8" s="10" t="s">
        <v>188</v>
      </c>
    </row>
    <row r="12" spans="1:14" x14ac:dyDescent="0.2">
      <c r="B12" s="16"/>
    </row>
    <row r="15" spans="1:14" x14ac:dyDescent="0.2">
      <c r="B15" s="16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7"/>
  <sheetViews>
    <sheetView zoomScale="83" zoomScaleNormal="83" workbookViewId="0">
      <pane xSplit="1" topLeftCell="E1" activePane="topRight" state="frozen"/>
      <selection pane="topRight" activeCell="N5" sqref="N5"/>
    </sheetView>
  </sheetViews>
  <sheetFormatPr baseColWidth="10" defaultColWidth="9.1640625" defaultRowHeight="13" x14ac:dyDescent="0.2"/>
  <cols>
    <col min="1" max="16384" width="9.1640625" style="10"/>
  </cols>
  <sheetData>
    <row r="1" spans="1:14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83</v>
      </c>
      <c r="I1" s="11" t="s">
        <v>85</v>
      </c>
      <c r="J1" s="11" t="s">
        <v>110</v>
      </c>
      <c r="K1" s="11" t="s">
        <v>84</v>
      </c>
      <c r="L1" s="11" t="s">
        <v>111</v>
      </c>
      <c r="M1" s="10" t="s">
        <v>86</v>
      </c>
      <c r="N1" s="10" t="s">
        <v>92</v>
      </c>
    </row>
    <row r="2" spans="1:14" x14ac:dyDescent="0.2">
      <c r="A2" s="10" t="s">
        <v>93</v>
      </c>
      <c r="B2" s="10">
        <v>2021</v>
      </c>
      <c r="C2" s="11">
        <v>0.42</v>
      </c>
      <c r="D2" s="11">
        <v>0.23</v>
      </c>
      <c r="E2" s="11">
        <v>0.76</v>
      </c>
      <c r="F2" s="10" t="s">
        <v>20</v>
      </c>
      <c r="G2" s="10" t="s">
        <v>21</v>
      </c>
      <c r="H2" s="10" t="s">
        <v>97</v>
      </c>
      <c r="I2" s="10">
        <v>16</v>
      </c>
      <c r="J2" s="10">
        <v>117</v>
      </c>
      <c r="K2" s="10">
        <v>34</v>
      </c>
      <c r="L2" s="10">
        <v>129</v>
      </c>
      <c r="M2" s="10" t="s">
        <v>145</v>
      </c>
      <c r="N2" s="10" t="s">
        <v>188</v>
      </c>
    </row>
    <row r="3" spans="1:14" s="21" customFormat="1" x14ac:dyDescent="0.2">
      <c r="A3" s="21" t="s">
        <v>96</v>
      </c>
      <c r="B3" s="21">
        <v>2023</v>
      </c>
      <c r="C3" s="21">
        <v>0.45</v>
      </c>
      <c r="D3" s="21">
        <v>0.34</v>
      </c>
      <c r="E3" s="21">
        <v>0.57999999999999996</v>
      </c>
      <c r="F3" s="21" t="s">
        <v>20</v>
      </c>
      <c r="G3" s="21" t="s">
        <v>21</v>
      </c>
      <c r="H3" s="21" t="s">
        <v>97</v>
      </c>
      <c r="I3" s="21">
        <v>91</v>
      </c>
      <c r="J3" s="21">
        <v>228</v>
      </c>
      <c r="K3" s="21">
        <v>143</v>
      </c>
      <c r="L3" s="21">
        <v>214</v>
      </c>
      <c r="M3" s="21">
        <v>36990608</v>
      </c>
      <c r="N3" s="21" t="s">
        <v>188</v>
      </c>
    </row>
    <row r="4" spans="1:14" x14ac:dyDescent="0.2">
      <c r="A4" s="10" t="s">
        <v>103</v>
      </c>
      <c r="B4" s="10">
        <v>2019</v>
      </c>
      <c r="C4" s="10">
        <v>0.41</v>
      </c>
      <c r="D4" s="10">
        <v>0.22</v>
      </c>
      <c r="E4" s="10">
        <v>0.78</v>
      </c>
      <c r="F4" s="10" t="s">
        <v>20</v>
      </c>
      <c r="G4" s="10" t="s">
        <v>21</v>
      </c>
      <c r="H4" s="10" t="s">
        <v>97</v>
      </c>
      <c r="I4" s="10">
        <v>17</v>
      </c>
      <c r="J4" s="10">
        <v>85</v>
      </c>
      <c r="K4" s="10">
        <v>23</v>
      </c>
      <c r="L4" s="10">
        <v>59</v>
      </c>
      <c r="M4" s="10">
        <v>31150574</v>
      </c>
      <c r="N4" s="10" t="s">
        <v>188</v>
      </c>
    </row>
    <row r="7" spans="1:14" x14ac:dyDescent="0.2">
      <c r="M7" s="13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6"/>
  <sheetViews>
    <sheetView zoomScale="83" zoomScaleNormal="83" workbookViewId="0">
      <pane xSplit="1" topLeftCell="B1" activePane="topRight" state="frozen"/>
      <selection pane="topRight" activeCell="N7" sqref="N7"/>
    </sheetView>
  </sheetViews>
  <sheetFormatPr baseColWidth="10" defaultColWidth="9.1640625" defaultRowHeight="13" x14ac:dyDescent="0.2"/>
  <cols>
    <col min="1" max="16384" width="9.1640625" style="10"/>
  </cols>
  <sheetData>
    <row r="1" spans="1:14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83</v>
      </c>
      <c r="I1" s="11" t="s">
        <v>85</v>
      </c>
      <c r="J1" s="11" t="s">
        <v>110</v>
      </c>
      <c r="K1" s="11" t="s">
        <v>84</v>
      </c>
      <c r="L1" s="11" t="s">
        <v>111</v>
      </c>
      <c r="M1" s="10" t="s">
        <v>86</v>
      </c>
      <c r="N1" s="10" t="s">
        <v>92</v>
      </c>
    </row>
    <row r="2" spans="1:14" x14ac:dyDescent="0.2">
      <c r="A2" s="10" t="s">
        <v>93</v>
      </c>
      <c r="B2" s="10">
        <v>2021</v>
      </c>
      <c r="C2" s="11">
        <v>0.38</v>
      </c>
      <c r="D2" s="11">
        <v>0.28999999999999998</v>
      </c>
      <c r="E2" s="11">
        <v>0.5</v>
      </c>
      <c r="F2" s="10" t="s">
        <v>20</v>
      </c>
      <c r="G2" s="10" t="s">
        <v>21</v>
      </c>
      <c r="H2" s="10" t="s">
        <v>97</v>
      </c>
      <c r="I2" s="10">
        <v>73</v>
      </c>
      <c r="J2" s="10">
        <v>448</v>
      </c>
      <c r="K2" s="10">
        <v>166</v>
      </c>
      <c r="L2" s="10">
        <v>442</v>
      </c>
      <c r="M2" s="10" t="s">
        <v>145</v>
      </c>
      <c r="N2" s="10" t="s">
        <v>188</v>
      </c>
    </row>
    <row r="3" spans="1:14" s="21" customFormat="1" x14ac:dyDescent="0.2">
      <c r="A3" s="21" t="s">
        <v>96</v>
      </c>
      <c r="B3" s="21">
        <v>2023</v>
      </c>
      <c r="C3" s="21">
        <v>0.45</v>
      </c>
      <c r="D3" s="21">
        <v>0.37</v>
      </c>
      <c r="E3" s="21">
        <v>0.55000000000000004</v>
      </c>
      <c r="F3" s="21" t="s">
        <v>20</v>
      </c>
      <c r="G3" s="21" t="s">
        <v>21</v>
      </c>
      <c r="H3" s="21" t="s">
        <v>97</v>
      </c>
      <c r="I3" s="21">
        <v>177</v>
      </c>
      <c r="J3" s="21">
        <v>335</v>
      </c>
      <c r="K3" s="21">
        <v>270</v>
      </c>
      <c r="L3" s="21">
        <v>348</v>
      </c>
      <c r="M3" s="21">
        <v>36990608</v>
      </c>
      <c r="N3" s="21" t="s">
        <v>188</v>
      </c>
    </row>
    <row r="4" spans="1:14" x14ac:dyDescent="0.2">
      <c r="A4" s="16" t="s">
        <v>99</v>
      </c>
      <c r="B4" s="10">
        <v>2019</v>
      </c>
      <c r="C4" s="10">
        <v>0.57999999999999996</v>
      </c>
      <c r="D4" s="10">
        <v>0.49</v>
      </c>
      <c r="E4" s="10">
        <v>0.68</v>
      </c>
      <c r="F4" s="10" t="s">
        <v>20</v>
      </c>
      <c r="G4" s="10" t="s">
        <v>21</v>
      </c>
      <c r="H4" s="10">
        <v>30.1</v>
      </c>
      <c r="I4" s="10">
        <v>267</v>
      </c>
      <c r="J4" s="10">
        <v>597</v>
      </c>
      <c r="K4" s="10">
        <v>336</v>
      </c>
      <c r="L4" s="10">
        <v>602</v>
      </c>
      <c r="M4" s="10">
        <v>30987939</v>
      </c>
      <c r="N4" s="10" t="s">
        <v>188</v>
      </c>
    </row>
    <row r="5" spans="1:14" x14ac:dyDescent="0.2">
      <c r="A5" s="10" t="s">
        <v>101</v>
      </c>
      <c r="B5" s="10">
        <v>2019</v>
      </c>
      <c r="C5" s="10">
        <v>0.59</v>
      </c>
      <c r="D5" s="10">
        <v>0.47</v>
      </c>
      <c r="E5" s="10">
        <v>0.74</v>
      </c>
      <c r="F5" s="10" t="s">
        <v>20</v>
      </c>
      <c r="G5" s="10" t="s">
        <v>21</v>
      </c>
      <c r="H5" s="10" t="s">
        <v>97</v>
      </c>
      <c r="I5" s="10">
        <v>150</v>
      </c>
      <c r="J5" s="10">
        <v>428</v>
      </c>
      <c r="K5" s="10">
        <v>258</v>
      </c>
      <c r="L5" s="10">
        <v>431</v>
      </c>
      <c r="M5" s="10">
        <v>31447077</v>
      </c>
      <c r="N5" s="10" t="s">
        <v>188</v>
      </c>
    </row>
    <row r="6" spans="1:14" x14ac:dyDescent="0.2">
      <c r="A6" s="10" t="s">
        <v>103</v>
      </c>
      <c r="B6" s="10">
        <v>2019</v>
      </c>
      <c r="C6" s="10">
        <v>0.49</v>
      </c>
      <c r="D6" s="10">
        <v>0.39</v>
      </c>
      <c r="E6" s="10">
        <v>0.63</v>
      </c>
      <c r="F6" s="10" t="s">
        <v>20</v>
      </c>
      <c r="G6" s="10" t="s">
        <v>21</v>
      </c>
      <c r="H6" s="10">
        <v>22</v>
      </c>
      <c r="I6" s="10">
        <v>108</v>
      </c>
      <c r="J6" s="10">
        <v>411</v>
      </c>
      <c r="K6" s="10">
        <v>196</v>
      </c>
      <c r="L6" s="10">
        <v>411</v>
      </c>
      <c r="M6" s="10">
        <v>31150574</v>
      </c>
      <c r="N6" s="10" t="s">
        <v>188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8"/>
  <sheetViews>
    <sheetView zoomScale="94" zoomScaleNormal="90" workbookViewId="0">
      <selection activeCell="J18" sqref="J18"/>
    </sheetView>
  </sheetViews>
  <sheetFormatPr baseColWidth="10" defaultColWidth="9.1640625" defaultRowHeight="13" x14ac:dyDescent="0.2"/>
  <cols>
    <col min="1" max="1" width="14.5" style="10" customWidth="1"/>
    <col min="2" max="5" width="9.33203125" style="10" customWidth="1"/>
    <col min="6" max="6" width="15.5" style="10" customWidth="1"/>
    <col min="7" max="8" width="9.1640625" style="10"/>
    <col min="9" max="9" width="10.1640625" style="10" customWidth="1"/>
    <col min="10" max="16384" width="9.1640625" style="10"/>
  </cols>
  <sheetData>
    <row r="1" spans="1:10" x14ac:dyDescent="0.2">
      <c r="A1" s="10" t="s">
        <v>78</v>
      </c>
      <c r="B1" s="10" t="s">
        <v>79</v>
      </c>
      <c r="C1" s="10" t="s">
        <v>85</v>
      </c>
      <c r="D1" s="10" t="s">
        <v>110</v>
      </c>
      <c r="E1" s="10" t="s">
        <v>84</v>
      </c>
      <c r="F1" s="10" t="s">
        <v>111</v>
      </c>
      <c r="G1" s="10" t="s">
        <v>10</v>
      </c>
      <c r="H1" s="10" t="s">
        <v>11</v>
      </c>
      <c r="I1" s="10" t="s">
        <v>86</v>
      </c>
      <c r="J1" s="10" t="s">
        <v>92</v>
      </c>
    </row>
    <row r="2" spans="1:10" x14ac:dyDescent="0.2">
      <c r="A2" s="10" t="s">
        <v>93</v>
      </c>
      <c r="B2" s="10">
        <v>2019</v>
      </c>
      <c r="C2" s="10">
        <v>139</v>
      </c>
      <c r="D2" s="10">
        <v>572</v>
      </c>
      <c r="E2" s="10">
        <v>147</v>
      </c>
      <c r="F2" s="10">
        <v>574</v>
      </c>
      <c r="G2" s="10" t="s">
        <v>20</v>
      </c>
      <c r="H2" s="10" t="s">
        <v>21</v>
      </c>
      <c r="I2" s="12" t="s">
        <v>94</v>
      </c>
      <c r="J2" s="10" t="s">
        <v>188</v>
      </c>
    </row>
    <row r="3" spans="1:10" s="21" customFormat="1" x14ac:dyDescent="0.2">
      <c r="A3" s="21" t="s">
        <v>96</v>
      </c>
      <c r="B3" s="21">
        <v>2023</v>
      </c>
      <c r="C3" s="23">
        <v>277</v>
      </c>
      <c r="D3" s="23">
        <v>563</v>
      </c>
      <c r="E3" s="23">
        <v>193</v>
      </c>
      <c r="F3" s="23">
        <v>558</v>
      </c>
      <c r="G3" s="21" t="s">
        <v>20</v>
      </c>
      <c r="H3" s="21" t="s">
        <v>21</v>
      </c>
      <c r="I3" s="21">
        <v>36990608</v>
      </c>
      <c r="J3" s="21" t="s">
        <v>188</v>
      </c>
    </row>
    <row r="4" spans="1:10" x14ac:dyDescent="0.2">
      <c r="A4" s="10" t="s">
        <v>99</v>
      </c>
      <c r="B4" s="10">
        <v>2019</v>
      </c>
      <c r="C4" s="10">
        <v>411</v>
      </c>
      <c r="D4" s="10">
        <v>597</v>
      </c>
      <c r="E4" s="10">
        <v>309</v>
      </c>
      <c r="F4" s="10">
        <v>602</v>
      </c>
      <c r="G4" s="10" t="s">
        <v>20</v>
      </c>
      <c r="H4" s="10" t="s">
        <v>21</v>
      </c>
      <c r="I4" s="10">
        <v>30987939</v>
      </c>
      <c r="J4" s="10" t="s">
        <v>188</v>
      </c>
    </row>
    <row r="5" spans="1:10" x14ac:dyDescent="0.2">
      <c r="A5" s="10" t="s">
        <v>100</v>
      </c>
      <c r="B5" s="10">
        <v>2016</v>
      </c>
      <c r="C5" s="10">
        <v>288</v>
      </c>
      <c r="D5" s="10">
        <v>592</v>
      </c>
      <c r="E5" s="10">
        <v>399</v>
      </c>
      <c r="F5" s="10">
        <v>1184</v>
      </c>
      <c r="G5" s="10" t="s">
        <v>20</v>
      </c>
      <c r="H5" s="10" t="s">
        <v>21</v>
      </c>
      <c r="I5" s="10">
        <v>26719232</v>
      </c>
      <c r="J5" s="10" t="s">
        <v>189</v>
      </c>
    </row>
    <row r="6" spans="1:10" s="21" customFormat="1" x14ac:dyDescent="0.2">
      <c r="A6" s="21" t="s">
        <v>101</v>
      </c>
      <c r="B6" s="21">
        <v>2023</v>
      </c>
      <c r="C6" s="23">
        <v>271</v>
      </c>
      <c r="D6" s="23">
        <v>498</v>
      </c>
      <c r="E6" s="23">
        <v>192</v>
      </c>
      <c r="F6" s="23">
        <v>502</v>
      </c>
      <c r="G6" s="21" t="s">
        <v>20</v>
      </c>
      <c r="H6" s="21" t="s">
        <v>21</v>
      </c>
      <c r="I6" s="23">
        <v>37142371</v>
      </c>
      <c r="J6" s="21" t="s">
        <v>189</v>
      </c>
    </row>
    <row r="7" spans="1:10" x14ac:dyDescent="0.2">
      <c r="A7" s="10" t="s">
        <v>102</v>
      </c>
      <c r="B7" s="10">
        <v>2021</v>
      </c>
      <c r="C7" s="10">
        <v>279</v>
      </c>
      <c r="D7" s="10">
        <v>638</v>
      </c>
      <c r="E7" s="10">
        <v>91</v>
      </c>
      <c r="F7" s="10">
        <v>641</v>
      </c>
      <c r="G7" s="10" t="s">
        <v>20</v>
      </c>
      <c r="H7" s="10" t="s">
        <v>21</v>
      </c>
      <c r="I7" s="13" t="s">
        <v>144</v>
      </c>
      <c r="J7" s="10" t="s">
        <v>188</v>
      </c>
    </row>
    <row r="8" spans="1:10" x14ac:dyDescent="0.2">
      <c r="A8" s="10" t="s">
        <v>103</v>
      </c>
      <c r="B8" s="10">
        <v>2021</v>
      </c>
      <c r="C8" s="10">
        <v>279</v>
      </c>
      <c r="D8" s="10">
        <v>524</v>
      </c>
      <c r="E8" s="10">
        <v>237</v>
      </c>
      <c r="F8" s="10">
        <v>527</v>
      </c>
      <c r="G8" s="10" t="s">
        <v>20</v>
      </c>
      <c r="H8" s="10" t="s">
        <v>21</v>
      </c>
      <c r="I8" s="15" t="s">
        <v>147</v>
      </c>
      <c r="J8" s="10" t="s">
        <v>188</v>
      </c>
    </row>
  </sheetData>
  <sortState xmlns:xlrd2="http://schemas.microsoft.com/office/spreadsheetml/2017/richdata2" ref="A2:I8">
    <sortCondition ref="A1:A8"/>
  </sortState>
  <conditionalFormatting sqref="I7">
    <cfRule type="duplicateValues" dxfId="64" priority="1"/>
    <cfRule type="duplicateValues" dxfId="63" priority="2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18"/>
  <sheetViews>
    <sheetView zoomScale="83" zoomScaleNormal="83" workbookViewId="0">
      <selection activeCell="I1" sqref="I1:L1"/>
    </sheetView>
  </sheetViews>
  <sheetFormatPr baseColWidth="10" defaultColWidth="9.1640625" defaultRowHeight="13" x14ac:dyDescent="0.2"/>
  <cols>
    <col min="1" max="12" width="9.1640625" style="10"/>
    <col min="13" max="13" width="16.1640625" style="10" customWidth="1"/>
    <col min="14" max="16384" width="9.1640625" style="10"/>
  </cols>
  <sheetData>
    <row r="1" spans="1:19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83</v>
      </c>
      <c r="I1" s="11" t="s">
        <v>85</v>
      </c>
      <c r="J1" s="11" t="s">
        <v>110</v>
      </c>
      <c r="K1" s="11" t="s">
        <v>84</v>
      </c>
      <c r="L1" s="11" t="s">
        <v>111</v>
      </c>
      <c r="M1" s="10" t="s">
        <v>86</v>
      </c>
      <c r="N1" s="10" t="s">
        <v>87</v>
      </c>
      <c r="O1" s="10" t="s">
        <v>88</v>
      </c>
      <c r="P1" s="10" t="s">
        <v>89</v>
      </c>
      <c r="Q1" s="10" t="s">
        <v>90</v>
      </c>
      <c r="R1" s="10" t="s">
        <v>91</v>
      </c>
      <c r="S1" s="10" t="s">
        <v>92</v>
      </c>
    </row>
    <row r="2" spans="1:19" x14ac:dyDescent="0.2">
      <c r="A2" s="10" t="s">
        <v>93</v>
      </c>
      <c r="B2" s="10">
        <v>2019</v>
      </c>
      <c r="C2" s="11">
        <v>0.44</v>
      </c>
      <c r="D2" s="11">
        <v>0.33</v>
      </c>
      <c r="E2" s="11">
        <v>0.57999999999999996</v>
      </c>
      <c r="F2" s="10" t="s">
        <v>20</v>
      </c>
      <c r="G2" s="10" t="s">
        <v>21</v>
      </c>
      <c r="H2" s="10" t="s">
        <v>97</v>
      </c>
      <c r="I2" s="10">
        <v>70</v>
      </c>
      <c r="J2" s="10">
        <v>426</v>
      </c>
      <c r="K2" s="10">
        <v>143</v>
      </c>
      <c r="L2" s="10">
        <v>424</v>
      </c>
      <c r="M2" s="12" t="s">
        <v>94</v>
      </c>
    </row>
    <row r="3" spans="1:19" s="21" customFormat="1" x14ac:dyDescent="0.2">
      <c r="A3" s="21" t="s">
        <v>96</v>
      </c>
      <c r="B3" s="21">
        <v>2023</v>
      </c>
      <c r="C3" s="22">
        <v>0.41</v>
      </c>
      <c r="D3" s="22">
        <v>0.33</v>
      </c>
      <c r="E3" s="22">
        <v>0.52</v>
      </c>
      <c r="F3" s="21" t="s">
        <v>20</v>
      </c>
      <c r="G3" s="21" t="s">
        <v>21</v>
      </c>
      <c r="H3" s="21" t="s">
        <v>97</v>
      </c>
      <c r="I3" s="21">
        <v>122</v>
      </c>
      <c r="J3" s="21">
        <v>257</v>
      </c>
      <c r="K3" s="21">
        <v>159</v>
      </c>
      <c r="L3" s="21">
        <v>257</v>
      </c>
      <c r="M3" s="21">
        <v>36990608</v>
      </c>
    </row>
    <row r="4" spans="1:19" x14ac:dyDescent="0.2">
      <c r="A4" s="16" t="s">
        <v>99</v>
      </c>
      <c r="B4" s="10">
        <v>2017</v>
      </c>
      <c r="C4" s="16">
        <v>0.49</v>
      </c>
      <c r="D4" s="16">
        <v>0.39</v>
      </c>
      <c r="E4" s="16">
        <v>0.6</v>
      </c>
      <c r="F4" s="10" t="s">
        <v>20</v>
      </c>
      <c r="G4" s="10" t="s">
        <v>21</v>
      </c>
      <c r="H4" s="10">
        <v>18.2</v>
      </c>
      <c r="I4" s="10" t="s">
        <v>97</v>
      </c>
      <c r="J4" s="10" t="s">
        <v>97</v>
      </c>
      <c r="K4" s="10" t="s">
        <v>97</v>
      </c>
      <c r="L4" s="10" t="s">
        <v>97</v>
      </c>
      <c r="M4" s="10">
        <v>28578607</v>
      </c>
    </row>
    <row r="5" spans="1:19" x14ac:dyDescent="0.2">
      <c r="A5" s="10" t="s">
        <v>112</v>
      </c>
      <c r="B5" s="10">
        <v>2017</v>
      </c>
      <c r="C5" s="11">
        <v>0.64</v>
      </c>
      <c r="D5" s="11">
        <v>0.44</v>
      </c>
      <c r="E5" s="11">
        <v>0.7</v>
      </c>
      <c r="F5" s="10" t="s">
        <v>20</v>
      </c>
      <c r="G5" s="10" t="s">
        <v>21</v>
      </c>
      <c r="H5" s="10">
        <v>22</v>
      </c>
      <c r="I5" s="10" t="s">
        <v>97</v>
      </c>
      <c r="J5" s="10" t="s">
        <v>97</v>
      </c>
      <c r="K5" s="10" t="s">
        <v>97</v>
      </c>
      <c r="L5" s="10" t="s">
        <v>97</v>
      </c>
      <c r="M5" s="10">
        <v>28578607</v>
      </c>
    </row>
    <row r="6" spans="1:19" x14ac:dyDescent="0.2">
      <c r="A6" s="10" t="s">
        <v>103</v>
      </c>
      <c r="B6" s="10">
        <v>2019</v>
      </c>
      <c r="C6" s="11">
        <v>0.47</v>
      </c>
      <c r="D6" s="11">
        <v>0.34</v>
      </c>
      <c r="E6" s="11">
        <v>0.64</v>
      </c>
      <c r="F6" s="10" t="s">
        <v>20</v>
      </c>
      <c r="G6" s="10" t="s">
        <v>21</v>
      </c>
      <c r="H6" s="10">
        <v>22</v>
      </c>
      <c r="I6" s="10">
        <v>61</v>
      </c>
      <c r="J6" s="10">
        <v>243</v>
      </c>
      <c r="K6" s="10">
        <v>105</v>
      </c>
      <c r="L6" s="10">
        <v>232</v>
      </c>
      <c r="M6" s="10">
        <v>31150574</v>
      </c>
    </row>
    <row r="7" spans="1:19" x14ac:dyDescent="0.2">
      <c r="A7" s="10" t="s">
        <v>113</v>
      </c>
      <c r="B7" s="10">
        <v>2019</v>
      </c>
      <c r="C7" s="11">
        <v>0.65</v>
      </c>
      <c r="D7" s="11">
        <v>0.41</v>
      </c>
      <c r="E7" s="11">
        <v>1.03</v>
      </c>
      <c r="F7" s="10" t="s">
        <v>20</v>
      </c>
      <c r="G7" s="10" t="s">
        <v>21</v>
      </c>
      <c r="H7" s="10">
        <v>32.9</v>
      </c>
      <c r="I7" s="10">
        <v>33</v>
      </c>
      <c r="J7" s="10">
        <v>133</v>
      </c>
      <c r="K7" s="10">
        <v>41</v>
      </c>
      <c r="L7" s="10">
        <v>113</v>
      </c>
      <c r="M7" s="10">
        <v>31150574</v>
      </c>
    </row>
    <row r="11" spans="1:19" x14ac:dyDescent="0.2">
      <c r="A11" s="16"/>
      <c r="B11" s="16"/>
    </row>
    <row r="12" spans="1:19" x14ac:dyDescent="0.2">
      <c r="B12" s="16"/>
    </row>
    <row r="13" spans="1:19" x14ac:dyDescent="0.2">
      <c r="O13" s="15"/>
    </row>
    <row r="15" spans="1:19" x14ac:dyDescent="0.2">
      <c r="O15" s="15"/>
    </row>
    <row r="18" spans="15:15" x14ac:dyDescent="0.2">
      <c r="O18" s="13"/>
    </row>
  </sheetData>
  <conditionalFormatting sqref="M3">
    <cfRule type="duplicateValues" dxfId="62" priority="1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18"/>
  <sheetViews>
    <sheetView zoomScale="83" zoomScaleNormal="83" workbookViewId="0">
      <selection activeCell="J5" sqref="J5"/>
    </sheetView>
  </sheetViews>
  <sheetFormatPr baseColWidth="10" defaultColWidth="9.1640625" defaultRowHeight="13" x14ac:dyDescent="0.2"/>
  <cols>
    <col min="1" max="1" width="9.1640625" style="10"/>
    <col min="2" max="5" width="9.33203125" style="10" customWidth="1"/>
    <col min="6" max="7" width="9.1640625" style="10"/>
    <col min="8" max="12" width="9.33203125" style="10" customWidth="1"/>
    <col min="13" max="13" width="10.83203125" style="10" customWidth="1"/>
    <col min="14" max="16384" width="9.1640625" style="10"/>
  </cols>
  <sheetData>
    <row r="1" spans="1:19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83</v>
      </c>
      <c r="I1" s="11" t="s">
        <v>85</v>
      </c>
      <c r="J1" s="11" t="s">
        <v>110</v>
      </c>
      <c r="K1" s="11" t="s">
        <v>84</v>
      </c>
      <c r="L1" s="11" t="s">
        <v>111</v>
      </c>
      <c r="M1" s="10" t="s">
        <v>86</v>
      </c>
      <c r="N1" s="10" t="s">
        <v>87</v>
      </c>
      <c r="O1" s="10" t="s">
        <v>88</v>
      </c>
      <c r="P1" s="10" t="s">
        <v>89</v>
      </c>
      <c r="Q1" s="10" t="s">
        <v>90</v>
      </c>
      <c r="R1" s="10" t="s">
        <v>91</v>
      </c>
      <c r="S1" s="10" t="s">
        <v>92</v>
      </c>
    </row>
    <row r="2" spans="1:19" x14ac:dyDescent="0.2">
      <c r="A2" s="10" t="s">
        <v>93</v>
      </c>
      <c r="B2" s="10">
        <v>2019</v>
      </c>
      <c r="C2" s="11">
        <v>0.28999999999999998</v>
      </c>
      <c r="D2" s="11">
        <v>0.17</v>
      </c>
      <c r="E2" s="11">
        <v>0.47</v>
      </c>
      <c r="F2" s="10" t="s">
        <v>20</v>
      </c>
      <c r="G2" s="10" t="s">
        <v>21</v>
      </c>
      <c r="H2" s="10" t="s">
        <v>97</v>
      </c>
      <c r="I2" s="10">
        <v>21</v>
      </c>
      <c r="J2" s="10">
        <v>148</v>
      </c>
      <c r="K2" s="10">
        <v>58</v>
      </c>
      <c r="L2" s="10">
        <v>152</v>
      </c>
      <c r="M2" s="12" t="s">
        <v>94</v>
      </c>
    </row>
    <row r="3" spans="1:19" s="21" customFormat="1" x14ac:dyDescent="0.2">
      <c r="A3" s="21" t="s">
        <v>96</v>
      </c>
      <c r="B3" s="21">
        <v>2023</v>
      </c>
      <c r="C3" s="22">
        <v>0.48</v>
      </c>
      <c r="D3" s="22">
        <v>0.39</v>
      </c>
      <c r="E3" s="22">
        <v>0.6</v>
      </c>
      <c r="F3" s="21" t="s">
        <v>20</v>
      </c>
      <c r="G3" s="21" t="s">
        <v>21</v>
      </c>
      <c r="H3" s="21" t="s">
        <v>97</v>
      </c>
      <c r="I3" s="21">
        <v>146</v>
      </c>
      <c r="J3" s="21">
        <v>306</v>
      </c>
      <c r="K3" s="21">
        <v>218</v>
      </c>
      <c r="L3" s="21">
        <v>305</v>
      </c>
      <c r="M3" s="21">
        <v>36990608</v>
      </c>
    </row>
    <row r="4" spans="1:19" x14ac:dyDescent="0.2">
      <c r="A4" s="16" t="s">
        <v>99</v>
      </c>
      <c r="B4" s="10">
        <v>2017</v>
      </c>
      <c r="C4" s="16">
        <v>0.44</v>
      </c>
      <c r="D4" s="16">
        <v>0.34</v>
      </c>
      <c r="E4" s="16">
        <v>0.57999999999999996</v>
      </c>
      <c r="F4" s="10" t="s">
        <v>20</v>
      </c>
      <c r="G4" s="10" t="s">
        <v>21</v>
      </c>
      <c r="H4" s="10">
        <v>14.6</v>
      </c>
      <c r="I4" s="10" t="s">
        <v>97</v>
      </c>
      <c r="J4" s="10" t="s">
        <v>97</v>
      </c>
      <c r="K4" s="10" t="s">
        <v>97</v>
      </c>
      <c r="L4" s="10" t="s">
        <v>97</v>
      </c>
      <c r="M4" s="14">
        <v>28578607</v>
      </c>
    </row>
    <row r="5" spans="1:19" x14ac:dyDescent="0.2">
      <c r="A5" s="10" t="s">
        <v>103</v>
      </c>
      <c r="B5" s="10">
        <v>2019</v>
      </c>
      <c r="C5" s="11">
        <v>0.45</v>
      </c>
      <c r="D5" s="11">
        <v>0.31</v>
      </c>
      <c r="E5" s="11">
        <v>0.66</v>
      </c>
      <c r="F5" s="10" t="s">
        <v>20</v>
      </c>
      <c r="G5" s="10" t="s">
        <v>21</v>
      </c>
      <c r="H5" s="10">
        <v>18.399999999999999</v>
      </c>
      <c r="I5" s="10">
        <v>40</v>
      </c>
      <c r="J5" s="10">
        <v>149</v>
      </c>
      <c r="K5" s="10">
        <v>85</v>
      </c>
      <c r="L5" s="10">
        <v>182</v>
      </c>
      <c r="M5" s="10">
        <v>31150574</v>
      </c>
    </row>
    <row r="6" spans="1:19" x14ac:dyDescent="0.2">
      <c r="M6" s="13"/>
    </row>
    <row r="10" spans="1:19" x14ac:dyDescent="0.2">
      <c r="A10" s="16"/>
      <c r="B10" s="16"/>
    </row>
    <row r="11" spans="1:19" x14ac:dyDescent="0.2">
      <c r="B11" s="16"/>
    </row>
    <row r="12" spans="1:19" x14ac:dyDescent="0.2">
      <c r="C12" s="11"/>
      <c r="D12" s="11"/>
      <c r="E12" s="11"/>
      <c r="O12" s="15"/>
    </row>
    <row r="13" spans="1:19" x14ac:dyDescent="0.2">
      <c r="C13" s="11"/>
      <c r="D13" s="11"/>
      <c r="E13" s="11"/>
      <c r="O13" s="15"/>
    </row>
    <row r="15" spans="1:19" x14ac:dyDescent="0.2">
      <c r="O15" s="15"/>
    </row>
    <row r="18" spans="15:15" x14ac:dyDescent="0.2">
      <c r="O18" s="13"/>
    </row>
  </sheetData>
  <conditionalFormatting sqref="M3">
    <cfRule type="duplicateValues" dxfId="61" priority="1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15"/>
  <sheetViews>
    <sheetView zoomScale="83" zoomScaleNormal="83" workbookViewId="0">
      <selection activeCell="I1" sqref="I1:L1"/>
    </sheetView>
  </sheetViews>
  <sheetFormatPr baseColWidth="10" defaultColWidth="9.1640625" defaultRowHeight="13" x14ac:dyDescent="0.2"/>
  <cols>
    <col min="1" max="1" width="9.1640625" style="10"/>
    <col min="2" max="5" width="9.33203125" style="10" customWidth="1"/>
    <col min="6" max="10" width="9.1640625" style="10"/>
    <col min="11" max="12" width="9.33203125" style="10" customWidth="1"/>
    <col min="13" max="13" width="10.83203125" style="10" customWidth="1"/>
    <col min="14" max="16384" width="9.1640625" style="10"/>
  </cols>
  <sheetData>
    <row r="1" spans="1:19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83</v>
      </c>
      <c r="I1" s="11" t="s">
        <v>85</v>
      </c>
      <c r="J1" s="11" t="s">
        <v>110</v>
      </c>
      <c r="K1" s="11" t="s">
        <v>84</v>
      </c>
      <c r="L1" s="11" t="s">
        <v>111</v>
      </c>
      <c r="M1" s="10" t="s">
        <v>86</v>
      </c>
      <c r="N1" s="10" t="s">
        <v>87</v>
      </c>
      <c r="O1" s="10" t="s">
        <v>88</v>
      </c>
      <c r="P1" s="10" t="s">
        <v>89</v>
      </c>
      <c r="Q1" s="10" t="s">
        <v>90</v>
      </c>
      <c r="R1" s="10" t="s">
        <v>91</v>
      </c>
      <c r="S1" s="10" t="s">
        <v>92</v>
      </c>
    </row>
    <row r="2" spans="1:19" x14ac:dyDescent="0.2">
      <c r="A2" s="10" t="s">
        <v>93</v>
      </c>
      <c r="B2" s="10">
        <v>2021</v>
      </c>
      <c r="C2" s="11">
        <v>0.68</v>
      </c>
      <c r="D2" s="11">
        <v>0.54</v>
      </c>
      <c r="E2" s="11">
        <v>0.87</v>
      </c>
      <c r="F2" s="10" t="s">
        <v>20</v>
      </c>
      <c r="G2" s="10" t="s">
        <v>21</v>
      </c>
      <c r="H2" s="10" t="s">
        <v>97</v>
      </c>
      <c r="I2" s="10">
        <v>115</v>
      </c>
      <c r="J2" s="10">
        <v>426</v>
      </c>
      <c r="K2" s="10">
        <v>150</v>
      </c>
      <c r="L2" s="10">
        <v>424</v>
      </c>
      <c r="M2" s="19">
        <v>35420921</v>
      </c>
    </row>
    <row r="3" spans="1:19" x14ac:dyDescent="0.2">
      <c r="A3" s="10" t="s">
        <v>95</v>
      </c>
      <c r="B3" s="10">
        <v>2018</v>
      </c>
      <c r="C3" s="10">
        <v>0.6</v>
      </c>
      <c r="D3" s="10">
        <v>0.38</v>
      </c>
      <c r="E3" s="10">
        <v>0.94</v>
      </c>
      <c r="F3" s="10" t="s">
        <v>20</v>
      </c>
      <c r="G3" s="10" t="s">
        <v>21</v>
      </c>
      <c r="H3" s="10" t="s">
        <v>97</v>
      </c>
      <c r="I3" s="10" t="s">
        <v>97</v>
      </c>
      <c r="J3" s="10" t="s">
        <v>97</v>
      </c>
      <c r="K3" s="10" t="s">
        <v>97</v>
      </c>
      <c r="L3" s="10" t="s">
        <v>97</v>
      </c>
      <c r="M3" s="10">
        <v>29384722</v>
      </c>
    </row>
    <row r="4" spans="1:19" s="21" customFormat="1" x14ac:dyDescent="0.2">
      <c r="A4" s="21" t="s">
        <v>96</v>
      </c>
      <c r="B4" s="21">
        <v>2023</v>
      </c>
      <c r="C4" s="22">
        <v>0.64</v>
      </c>
      <c r="D4" s="22">
        <v>0.5</v>
      </c>
      <c r="E4" s="22">
        <v>0.83</v>
      </c>
      <c r="F4" s="21" t="s">
        <v>20</v>
      </c>
      <c r="G4" s="21" t="s">
        <v>21</v>
      </c>
      <c r="H4" s="21" t="s">
        <v>97</v>
      </c>
      <c r="I4" s="21">
        <v>100</v>
      </c>
      <c r="J4" s="21">
        <v>257</v>
      </c>
      <c r="K4" s="21">
        <v>137</v>
      </c>
      <c r="L4" s="21">
        <v>257</v>
      </c>
      <c r="M4" s="21">
        <v>36990608</v>
      </c>
    </row>
    <row r="5" spans="1:19" x14ac:dyDescent="0.2">
      <c r="A5" s="10" t="s">
        <v>98</v>
      </c>
      <c r="B5" s="10">
        <v>2015</v>
      </c>
      <c r="C5" s="11">
        <v>0.85</v>
      </c>
      <c r="D5" s="11">
        <v>0.5</v>
      </c>
      <c r="E5" s="11">
        <v>1.46</v>
      </c>
      <c r="F5" s="10" t="s">
        <v>20</v>
      </c>
      <c r="G5" s="10" t="s">
        <v>21</v>
      </c>
      <c r="H5" s="10" t="s">
        <v>97</v>
      </c>
      <c r="I5" s="10" t="s">
        <v>97</v>
      </c>
      <c r="J5" s="10" t="s">
        <v>97</v>
      </c>
      <c r="K5" s="10" t="s">
        <v>97</v>
      </c>
      <c r="L5" s="10" t="s">
        <v>97</v>
      </c>
      <c r="M5" s="13">
        <v>26610858</v>
      </c>
    </row>
    <row r="6" spans="1:19" x14ac:dyDescent="0.2">
      <c r="A6" s="10" t="s">
        <v>99</v>
      </c>
      <c r="B6" s="14">
        <v>2019</v>
      </c>
      <c r="C6" s="16">
        <v>0.68</v>
      </c>
      <c r="D6" s="16">
        <v>0.55000000000000004</v>
      </c>
      <c r="E6" s="16">
        <v>0.83</v>
      </c>
      <c r="F6" s="10" t="s">
        <v>20</v>
      </c>
      <c r="G6" s="10" t="s">
        <v>21</v>
      </c>
      <c r="H6" s="10" t="s">
        <v>97</v>
      </c>
      <c r="I6" s="10">
        <v>175</v>
      </c>
      <c r="J6" s="10">
        <v>376</v>
      </c>
      <c r="K6" s="10">
        <v>212</v>
      </c>
      <c r="L6" s="10">
        <v>369</v>
      </c>
      <c r="M6" s="10">
        <v>30987939</v>
      </c>
    </row>
    <row r="7" spans="1:19" x14ac:dyDescent="0.2">
      <c r="A7" s="10" t="s">
        <v>112</v>
      </c>
      <c r="B7" s="10">
        <v>2019</v>
      </c>
      <c r="C7" s="10">
        <v>0.86</v>
      </c>
      <c r="D7" s="10">
        <v>0.62</v>
      </c>
      <c r="E7" s="10">
        <v>1.21</v>
      </c>
      <c r="F7" s="10" t="s">
        <v>20</v>
      </c>
      <c r="G7" s="10" t="s">
        <v>21</v>
      </c>
      <c r="H7" s="10" t="s">
        <v>97</v>
      </c>
      <c r="I7" s="10">
        <v>66</v>
      </c>
      <c r="J7" s="10">
        <v>123</v>
      </c>
      <c r="K7" s="10">
        <v>70</v>
      </c>
      <c r="L7" s="10">
        <v>120</v>
      </c>
      <c r="M7" s="10">
        <v>30987939</v>
      </c>
    </row>
    <row r="8" spans="1:19" x14ac:dyDescent="0.2">
      <c r="A8" s="10" t="s">
        <v>100</v>
      </c>
      <c r="B8" s="10">
        <v>2016</v>
      </c>
      <c r="C8" s="10">
        <v>0.9</v>
      </c>
      <c r="D8" s="10">
        <v>0.64</v>
      </c>
      <c r="E8" s="10">
        <v>1.26</v>
      </c>
      <c r="F8" s="10" t="s">
        <v>20</v>
      </c>
      <c r="G8" s="10" t="s">
        <v>21</v>
      </c>
      <c r="H8" s="15" t="s">
        <v>97</v>
      </c>
      <c r="I8" s="10">
        <v>54</v>
      </c>
      <c r="J8" s="10">
        <v>173</v>
      </c>
      <c r="K8" s="10">
        <v>104</v>
      </c>
      <c r="L8" s="10">
        <v>351</v>
      </c>
      <c r="M8" s="15">
        <v>26719232</v>
      </c>
    </row>
    <row r="9" spans="1:19" x14ac:dyDescent="0.2">
      <c r="A9" s="10" t="s">
        <v>101</v>
      </c>
      <c r="B9" s="10">
        <v>2017</v>
      </c>
      <c r="C9" s="11">
        <v>0.94</v>
      </c>
      <c r="D9" s="11">
        <v>0.69</v>
      </c>
      <c r="E9" s="11">
        <v>1.29</v>
      </c>
      <c r="F9" s="10" t="s">
        <v>20</v>
      </c>
      <c r="G9" s="10" t="s">
        <v>21</v>
      </c>
      <c r="H9" s="10" t="s">
        <v>97</v>
      </c>
      <c r="I9" s="30">
        <v>116</v>
      </c>
      <c r="J9" s="30">
        <v>171</v>
      </c>
      <c r="K9" s="30">
        <v>134</v>
      </c>
      <c r="L9" s="30">
        <v>181</v>
      </c>
      <c r="M9" s="15">
        <v>28578639</v>
      </c>
    </row>
    <row r="10" spans="1:19" x14ac:dyDescent="0.2">
      <c r="A10" s="10" t="s">
        <v>103</v>
      </c>
      <c r="B10" s="10">
        <v>2019</v>
      </c>
      <c r="C10" s="11">
        <v>0.74</v>
      </c>
      <c r="D10" s="11">
        <v>0.55000000000000004</v>
      </c>
      <c r="E10" s="11">
        <v>0.99</v>
      </c>
      <c r="F10" s="10" t="s">
        <v>20</v>
      </c>
      <c r="G10" s="10" t="s">
        <v>21</v>
      </c>
      <c r="H10" s="10" t="s">
        <v>97</v>
      </c>
      <c r="I10" s="10">
        <v>81</v>
      </c>
      <c r="J10" s="10">
        <v>243</v>
      </c>
      <c r="K10" s="10">
        <v>95</v>
      </c>
      <c r="L10" s="10">
        <v>232</v>
      </c>
      <c r="M10" s="10" t="s">
        <v>144</v>
      </c>
    </row>
    <row r="11" spans="1:19" x14ac:dyDescent="0.2">
      <c r="A11" s="10" t="s">
        <v>113</v>
      </c>
      <c r="B11" s="10">
        <v>2019</v>
      </c>
      <c r="C11" s="10">
        <v>0.65</v>
      </c>
      <c r="D11" s="10">
        <v>0.43</v>
      </c>
      <c r="E11" s="10">
        <v>0.99</v>
      </c>
      <c r="F11" s="10" t="s">
        <v>20</v>
      </c>
      <c r="G11" s="10" t="s">
        <v>21</v>
      </c>
      <c r="H11" s="10" t="s">
        <v>97</v>
      </c>
      <c r="I11" s="10">
        <v>40</v>
      </c>
      <c r="J11" s="10">
        <v>133</v>
      </c>
      <c r="K11" s="10">
        <v>50</v>
      </c>
      <c r="L11" s="10">
        <v>113</v>
      </c>
      <c r="M11" s="10" t="s">
        <v>144</v>
      </c>
    </row>
    <row r="15" spans="1:19" x14ac:dyDescent="0.2">
      <c r="B15" s="16"/>
    </row>
  </sheetData>
  <conditionalFormatting sqref="H8">
    <cfRule type="duplicateValues" dxfId="60" priority="4"/>
  </conditionalFormatting>
  <conditionalFormatting sqref="M4">
    <cfRule type="duplicateValues" dxfId="59" priority="1"/>
  </conditionalFormatting>
  <conditionalFormatting sqref="M8">
    <cfRule type="duplicateValues" dxfId="58" priority="5"/>
  </conditionalFormatting>
  <conditionalFormatting sqref="M9">
    <cfRule type="duplicateValues" dxfId="57" priority="3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14"/>
  <sheetViews>
    <sheetView zoomScale="83" zoomScaleNormal="83" workbookViewId="0">
      <selection activeCell="H20" sqref="H20"/>
    </sheetView>
  </sheetViews>
  <sheetFormatPr baseColWidth="10" defaultColWidth="9.1640625" defaultRowHeight="13" x14ac:dyDescent="0.2"/>
  <cols>
    <col min="1" max="1" width="18.6640625" style="10" customWidth="1"/>
    <col min="2" max="5" width="9.33203125" style="10" customWidth="1"/>
    <col min="6" max="10" width="9.1640625" style="10"/>
    <col min="11" max="12" width="9.33203125" style="10" customWidth="1"/>
    <col min="13" max="13" width="10.83203125" style="10" customWidth="1"/>
    <col min="14" max="16384" width="9.1640625" style="10"/>
  </cols>
  <sheetData>
    <row r="1" spans="1:19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83</v>
      </c>
      <c r="I1" s="11" t="s">
        <v>85</v>
      </c>
      <c r="J1" s="11" t="s">
        <v>110</v>
      </c>
      <c r="K1" s="11" t="s">
        <v>84</v>
      </c>
      <c r="L1" s="11" t="s">
        <v>111</v>
      </c>
      <c r="M1" s="10" t="s">
        <v>86</v>
      </c>
      <c r="N1" s="10" t="s">
        <v>87</v>
      </c>
      <c r="O1" s="10" t="s">
        <v>88</v>
      </c>
      <c r="P1" s="10" t="s">
        <v>89</v>
      </c>
      <c r="Q1" s="10" t="s">
        <v>90</v>
      </c>
      <c r="R1" s="10" t="s">
        <v>91</v>
      </c>
      <c r="S1" s="10" t="s">
        <v>92</v>
      </c>
    </row>
    <row r="2" spans="1:19" x14ac:dyDescent="0.2">
      <c r="A2" s="10" t="s">
        <v>93</v>
      </c>
      <c r="B2" s="10">
        <v>2021</v>
      </c>
      <c r="C2" s="11">
        <v>0.57999999999999996</v>
      </c>
      <c r="D2" s="11">
        <v>0.38</v>
      </c>
      <c r="E2" s="11">
        <v>0.88</v>
      </c>
      <c r="F2" s="10" t="s">
        <v>20</v>
      </c>
      <c r="G2" s="10" t="s">
        <v>21</v>
      </c>
      <c r="H2" s="10" t="s">
        <v>97</v>
      </c>
      <c r="I2" s="10">
        <v>39</v>
      </c>
      <c r="J2" s="10">
        <v>148</v>
      </c>
      <c r="K2" s="10">
        <v>52</v>
      </c>
      <c r="L2" s="10">
        <v>152</v>
      </c>
      <c r="M2" s="19">
        <v>35420921</v>
      </c>
    </row>
    <row r="3" spans="1:19" x14ac:dyDescent="0.2">
      <c r="A3" s="10" t="s">
        <v>95</v>
      </c>
      <c r="B3" s="10">
        <v>2018</v>
      </c>
      <c r="C3" s="10">
        <v>0.76</v>
      </c>
      <c r="D3" s="10">
        <v>0.61</v>
      </c>
      <c r="E3" s="10">
        <v>0.96</v>
      </c>
      <c r="F3" s="10" t="s">
        <v>20</v>
      </c>
      <c r="G3" s="10" t="s">
        <v>21</v>
      </c>
      <c r="H3" s="10" t="s">
        <v>97</v>
      </c>
      <c r="I3" s="10" t="s">
        <v>97</v>
      </c>
      <c r="J3" s="10" t="s">
        <v>97</v>
      </c>
      <c r="K3" s="10" t="s">
        <v>97</v>
      </c>
      <c r="L3" s="10" t="s">
        <v>97</v>
      </c>
      <c r="M3" s="10">
        <v>29384722</v>
      </c>
    </row>
    <row r="4" spans="1:19" s="21" customFormat="1" x14ac:dyDescent="0.2">
      <c r="A4" s="21" t="s">
        <v>96</v>
      </c>
      <c r="B4" s="21">
        <v>2019</v>
      </c>
      <c r="C4" s="22">
        <v>0.75</v>
      </c>
      <c r="D4" s="22">
        <v>0.57999999999999996</v>
      </c>
      <c r="E4" s="22">
        <v>0.97</v>
      </c>
      <c r="F4" s="21" t="s">
        <v>20</v>
      </c>
      <c r="G4" s="21" t="s">
        <v>21</v>
      </c>
      <c r="H4" s="21" t="s">
        <v>97</v>
      </c>
      <c r="I4" s="21">
        <v>108</v>
      </c>
      <c r="J4" s="21">
        <v>306</v>
      </c>
      <c r="K4" s="21">
        <v>131</v>
      </c>
      <c r="L4" s="21">
        <v>305</v>
      </c>
      <c r="M4" s="21">
        <v>36990608</v>
      </c>
    </row>
    <row r="5" spans="1:19" x14ac:dyDescent="0.2">
      <c r="A5" s="10" t="s">
        <v>98</v>
      </c>
      <c r="B5" s="10">
        <v>2015</v>
      </c>
      <c r="C5" s="11">
        <v>0.9</v>
      </c>
      <c r="D5" s="11">
        <v>0.67</v>
      </c>
      <c r="E5" s="11">
        <v>1.2</v>
      </c>
      <c r="F5" s="10" t="s">
        <v>20</v>
      </c>
      <c r="G5" s="10" t="s">
        <v>21</v>
      </c>
      <c r="H5" s="10" t="s">
        <v>97</v>
      </c>
      <c r="I5" s="10" t="s">
        <v>97</v>
      </c>
      <c r="J5" s="10" t="s">
        <v>97</v>
      </c>
      <c r="K5" s="10" t="s">
        <v>97</v>
      </c>
      <c r="L5" s="10" t="s">
        <v>97</v>
      </c>
      <c r="M5" s="13">
        <v>26610858</v>
      </c>
    </row>
    <row r="6" spans="1:19" x14ac:dyDescent="0.2">
      <c r="A6" s="10" t="s">
        <v>99</v>
      </c>
      <c r="B6" s="14">
        <v>2019</v>
      </c>
      <c r="C6" s="16">
        <v>0.65</v>
      </c>
      <c r="D6" s="16">
        <v>0.5</v>
      </c>
      <c r="E6" s="16">
        <v>0.84</v>
      </c>
      <c r="F6" s="10" t="s">
        <v>20</v>
      </c>
      <c r="G6" s="10" t="s">
        <v>21</v>
      </c>
      <c r="H6" s="10" t="s">
        <v>97</v>
      </c>
      <c r="I6" s="10">
        <v>100</v>
      </c>
      <c r="J6" s="10">
        <v>221</v>
      </c>
      <c r="K6" s="10">
        <v>131</v>
      </c>
      <c r="L6" s="10">
        <v>233</v>
      </c>
      <c r="M6" s="10">
        <v>30987939</v>
      </c>
      <c r="N6" s="13"/>
    </row>
    <row r="7" spans="1:19" x14ac:dyDescent="0.2">
      <c r="A7" s="10" t="s">
        <v>100</v>
      </c>
      <c r="B7" s="10">
        <v>2016</v>
      </c>
      <c r="C7" s="10">
        <v>0.73</v>
      </c>
      <c r="D7" s="10">
        <v>0.59</v>
      </c>
      <c r="E7" s="10">
        <v>0.9</v>
      </c>
      <c r="F7" s="10" t="s">
        <v>20</v>
      </c>
      <c r="G7" s="10" t="s">
        <v>21</v>
      </c>
      <c r="H7" s="10" t="s">
        <v>97</v>
      </c>
      <c r="I7" s="10">
        <v>121</v>
      </c>
      <c r="J7" s="10">
        <v>419</v>
      </c>
      <c r="K7" s="10">
        <v>311</v>
      </c>
      <c r="L7" s="10">
        <v>833</v>
      </c>
      <c r="M7" s="14">
        <v>26719232</v>
      </c>
    </row>
    <row r="8" spans="1:19" x14ac:dyDescent="0.2">
      <c r="A8" s="10" t="s">
        <v>101</v>
      </c>
      <c r="B8" s="10">
        <v>2017</v>
      </c>
      <c r="C8" s="11">
        <v>0.51</v>
      </c>
      <c r="D8" s="11">
        <v>0.4</v>
      </c>
      <c r="E8" s="11">
        <v>0.65</v>
      </c>
      <c r="F8" s="10" t="s">
        <v>20</v>
      </c>
      <c r="G8" s="10" t="s">
        <v>21</v>
      </c>
      <c r="H8" s="10" t="s">
        <v>97</v>
      </c>
      <c r="I8" s="30">
        <v>110</v>
      </c>
      <c r="J8" s="30">
        <v>603</v>
      </c>
      <c r="K8" s="30">
        <v>180</v>
      </c>
      <c r="L8" s="30">
        <v>596</v>
      </c>
      <c r="M8" s="15">
        <v>28578639</v>
      </c>
    </row>
    <row r="9" spans="1:19" x14ac:dyDescent="0.2">
      <c r="A9" s="10" t="s">
        <v>103</v>
      </c>
      <c r="B9" s="10">
        <v>2019</v>
      </c>
      <c r="C9" s="11">
        <v>0.56999999999999995</v>
      </c>
      <c r="D9" s="11">
        <v>0.4</v>
      </c>
      <c r="E9" s="11">
        <v>0.8</v>
      </c>
      <c r="F9" s="10" t="s">
        <v>20</v>
      </c>
      <c r="G9" s="10" t="s">
        <v>21</v>
      </c>
      <c r="H9" s="10" t="s">
        <v>97</v>
      </c>
      <c r="I9" s="10">
        <v>49</v>
      </c>
      <c r="J9" s="10">
        <v>149</v>
      </c>
      <c r="K9" s="10">
        <v>90</v>
      </c>
      <c r="L9" s="10">
        <v>182</v>
      </c>
      <c r="M9" s="10" t="s">
        <v>144</v>
      </c>
    </row>
    <row r="14" spans="1:19" x14ac:dyDescent="0.2">
      <c r="B14" s="16"/>
    </row>
  </sheetData>
  <conditionalFormatting sqref="M4">
    <cfRule type="duplicateValues" dxfId="56" priority="1"/>
  </conditionalFormatting>
  <conditionalFormatting sqref="M7">
    <cfRule type="duplicateValues" dxfId="55" priority="3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18"/>
  <sheetViews>
    <sheetView zoomScaleNormal="100" workbookViewId="0">
      <selection activeCell="J13" sqref="J13"/>
    </sheetView>
  </sheetViews>
  <sheetFormatPr baseColWidth="10" defaultColWidth="9.1640625" defaultRowHeight="13" x14ac:dyDescent="0.2"/>
  <cols>
    <col min="1" max="1" width="9.1640625" style="10"/>
    <col min="2" max="5" width="9.33203125" style="10" customWidth="1"/>
    <col min="6" max="7" width="9.1640625" style="10"/>
    <col min="8" max="8" width="11.5" style="10" customWidth="1"/>
    <col min="9" max="13" width="9.33203125" style="10" customWidth="1"/>
    <col min="14" max="14" width="10.83203125" style="10" customWidth="1"/>
    <col min="15" max="16384" width="9.1640625" style="10"/>
  </cols>
  <sheetData>
    <row r="1" spans="1:20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47</v>
      </c>
      <c r="I1" s="11" t="s">
        <v>83</v>
      </c>
      <c r="J1" s="11" t="s">
        <v>85</v>
      </c>
      <c r="K1" s="11" t="s">
        <v>110</v>
      </c>
      <c r="L1" s="11" t="s">
        <v>84</v>
      </c>
      <c r="M1" s="11" t="s">
        <v>111</v>
      </c>
      <c r="N1" s="10" t="s">
        <v>86</v>
      </c>
      <c r="O1" s="10" t="s">
        <v>87</v>
      </c>
      <c r="P1" s="10" t="s">
        <v>88</v>
      </c>
      <c r="Q1" s="10" t="s">
        <v>89</v>
      </c>
      <c r="R1" s="10" t="s">
        <v>90</v>
      </c>
      <c r="S1" s="10" t="s">
        <v>91</v>
      </c>
      <c r="T1" s="10" t="s">
        <v>92</v>
      </c>
    </row>
    <row r="2" spans="1:20" x14ac:dyDescent="0.2">
      <c r="A2" s="10" t="s">
        <v>93</v>
      </c>
      <c r="B2" s="10">
        <v>2019</v>
      </c>
      <c r="C2" s="10">
        <v>0.36</v>
      </c>
      <c r="D2" s="10">
        <v>0.27</v>
      </c>
      <c r="E2" s="10">
        <v>0.48</v>
      </c>
      <c r="F2" s="10" t="s">
        <v>20</v>
      </c>
      <c r="G2" s="10" t="s">
        <v>21</v>
      </c>
      <c r="H2" s="10" t="s">
        <v>114</v>
      </c>
      <c r="I2" s="10" t="s">
        <v>97</v>
      </c>
      <c r="J2" s="10">
        <v>65</v>
      </c>
      <c r="K2" s="10">
        <v>386</v>
      </c>
      <c r="L2" s="10">
        <v>151</v>
      </c>
      <c r="M2" s="10">
        <v>373</v>
      </c>
      <c r="N2" s="12" t="s">
        <v>94</v>
      </c>
    </row>
    <row r="3" spans="1:20" x14ac:dyDescent="0.2">
      <c r="A3" s="21" t="s">
        <v>96</v>
      </c>
      <c r="B3" s="21">
        <v>2023</v>
      </c>
      <c r="C3" s="21">
        <v>0.45</v>
      </c>
      <c r="D3" s="21">
        <v>0.37</v>
      </c>
      <c r="E3" s="21">
        <v>0.55000000000000004</v>
      </c>
      <c r="F3" s="21" t="s">
        <v>20</v>
      </c>
      <c r="G3" s="21" t="s">
        <v>21</v>
      </c>
      <c r="H3" s="21" t="s">
        <v>114</v>
      </c>
      <c r="I3" s="21" t="s">
        <v>97</v>
      </c>
      <c r="J3" s="21">
        <v>171</v>
      </c>
      <c r="K3" s="21">
        <v>335</v>
      </c>
      <c r="L3" s="21">
        <v>245</v>
      </c>
      <c r="M3" s="21">
        <v>320</v>
      </c>
      <c r="N3" s="21">
        <v>36990608</v>
      </c>
    </row>
    <row r="4" spans="1:20" x14ac:dyDescent="0.2">
      <c r="A4" s="16" t="s">
        <v>99</v>
      </c>
      <c r="B4" s="10">
        <v>2017</v>
      </c>
      <c r="C4" s="16">
        <v>0.47</v>
      </c>
      <c r="D4" s="16">
        <v>0.4</v>
      </c>
      <c r="E4" s="16">
        <v>0.55000000000000004</v>
      </c>
      <c r="F4" s="10" t="s">
        <v>20</v>
      </c>
      <c r="G4" s="10" t="s">
        <v>21</v>
      </c>
      <c r="H4" s="10" t="s">
        <v>114</v>
      </c>
      <c r="I4" s="11">
        <v>14.8</v>
      </c>
      <c r="J4" s="11" t="s">
        <v>97</v>
      </c>
      <c r="K4" s="11" t="s">
        <v>97</v>
      </c>
      <c r="L4" s="10" t="s">
        <v>97</v>
      </c>
      <c r="M4" s="10" t="s">
        <v>97</v>
      </c>
      <c r="N4" s="10">
        <v>28578607</v>
      </c>
    </row>
    <row r="5" spans="1:20" x14ac:dyDescent="0.2">
      <c r="A5" s="10" t="s">
        <v>103</v>
      </c>
      <c r="B5" s="10">
        <v>2019</v>
      </c>
      <c r="C5" s="11">
        <v>0.48</v>
      </c>
      <c r="D5" s="10">
        <v>0.37</v>
      </c>
      <c r="E5" s="10">
        <v>0.61</v>
      </c>
      <c r="F5" s="10" t="s">
        <v>20</v>
      </c>
      <c r="G5" s="10" t="s">
        <v>21</v>
      </c>
      <c r="H5" s="10" t="s">
        <v>114</v>
      </c>
      <c r="I5" s="10">
        <v>18.600000000000001</v>
      </c>
      <c r="J5" s="10">
        <v>93</v>
      </c>
      <c r="K5" s="10">
        <v>351</v>
      </c>
      <c r="L5" s="10">
        <v>166</v>
      </c>
      <c r="M5" s="10">
        <v>358</v>
      </c>
      <c r="N5" s="10">
        <v>31150574</v>
      </c>
    </row>
    <row r="6" spans="1:20" x14ac:dyDescent="0.2">
      <c r="A6" s="10" t="s">
        <v>93</v>
      </c>
      <c r="B6" s="10">
        <v>2019</v>
      </c>
      <c r="C6" s="11">
        <v>0.42</v>
      </c>
      <c r="D6" s="11">
        <v>0.25</v>
      </c>
      <c r="E6" s="11">
        <v>0.7</v>
      </c>
      <c r="F6" s="10" t="s">
        <v>20</v>
      </c>
      <c r="G6" s="10" t="s">
        <v>21</v>
      </c>
      <c r="H6" s="10" t="s">
        <v>115</v>
      </c>
      <c r="I6" s="10" t="s">
        <v>97</v>
      </c>
      <c r="J6" s="10">
        <v>21</v>
      </c>
      <c r="K6" s="10">
        <v>171</v>
      </c>
      <c r="L6" s="10">
        <v>47</v>
      </c>
      <c r="M6" s="10">
        <v>187</v>
      </c>
      <c r="N6" s="12" t="s">
        <v>94</v>
      </c>
    </row>
    <row r="7" spans="1:20" s="21" customFormat="1" x14ac:dyDescent="0.2">
      <c r="A7" s="21" t="s">
        <v>96</v>
      </c>
      <c r="B7" s="21">
        <v>2023</v>
      </c>
      <c r="C7" s="22">
        <v>0.39</v>
      </c>
      <c r="D7" s="22">
        <v>0.28000000000000003</v>
      </c>
      <c r="E7" s="22">
        <v>0.55000000000000004</v>
      </c>
      <c r="F7" s="21" t="s">
        <v>20</v>
      </c>
      <c r="G7" s="21" t="s">
        <v>21</v>
      </c>
      <c r="H7" s="21" t="s">
        <v>115</v>
      </c>
      <c r="I7" s="21" t="s">
        <v>97</v>
      </c>
      <c r="J7" s="21">
        <v>49</v>
      </c>
      <c r="K7" s="21">
        <v>152</v>
      </c>
      <c r="L7" s="21">
        <v>102</v>
      </c>
      <c r="M7" s="21">
        <v>164</v>
      </c>
      <c r="N7" s="21">
        <v>36990608</v>
      </c>
    </row>
    <row r="8" spans="1:20" x14ac:dyDescent="0.2">
      <c r="A8" s="10" t="s">
        <v>99</v>
      </c>
      <c r="B8" s="10">
        <v>2017</v>
      </c>
      <c r="C8" s="10">
        <v>0.47</v>
      </c>
      <c r="D8" s="10">
        <v>0.15</v>
      </c>
      <c r="E8" s="10">
        <v>1.46</v>
      </c>
      <c r="F8" s="10" t="s">
        <v>20</v>
      </c>
      <c r="G8" s="10" t="s">
        <v>21</v>
      </c>
      <c r="H8" s="10" t="s">
        <v>115</v>
      </c>
      <c r="I8" s="10">
        <v>19.399999999999999</v>
      </c>
      <c r="J8" s="10" t="s">
        <v>97</v>
      </c>
      <c r="K8" s="10" t="s">
        <v>97</v>
      </c>
      <c r="L8" s="10" t="s">
        <v>97</v>
      </c>
      <c r="M8" s="10" t="s">
        <v>97</v>
      </c>
      <c r="N8" s="10">
        <v>28578607</v>
      </c>
    </row>
    <row r="9" spans="1:20" x14ac:dyDescent="0.2">
      <c r="A9" s="10" t="s">
        <v>103</v>
      </c>
      <c r="B9" s="10">
        <v>2019</v>
      </c>
      <c r="C9" s="16">
        <v>0.53</v>
      </c>
      <c r="D9" s="16">
        <v>0.36</v>
      </c>
      <c r="E9" s="16">
        <v>0.78</v>
      </c>
      <c r="F9" s="10" t="s">
        <v>20</v>
      </c>
      <c r="G9" s="10" t="s">
        <v>21</v>
      </c>
      <c r="H9" s="10" t="s">
        <v>115</v>
      </c>
      <c r="I9" s="10">
        <v>30.5</v>
      </c>
      <c r="J9" s="10">
        <v>41</v>
      </c>
      <c r="K9" s="10">
        <v>174</v>
      </c>
      <c r="L9" s="10">
        <v>65</v>
      </c>
      <c r="M9" s="10">
        <v>169</v>
      </c>
      <c r="N9" s="10">
        <v>31150574</v>
      </c>
    </row>
    <row r="12" spans="1:20" x14ac:dyDescent="0.2">
      <c r="A12" s="16"/>
      <c r="B12" s="16"/>
    </row>
    <row r="13" spans="1:20" x14ac:dyDescent="0.2">
      <c r="P13" s="12"/>
    </row>
    <row r="15" spans="1:20" x14ac:dyDescent="0.2">
      <c r="P15" s="15"/>
    </row>
    <row r="18" spans="16:16" x14ac:dyDescent="0.2">
      <c r="P18" s="13"/>
    </row>
  </sheetData>
  <conditionalFormatting sqref="N3">
    <cfRule type="duplicateValues" dxfId="54" priority="1"/>
  </conditionalFormatting>
  <conditionalFormatting sqref="N7">
    <cfRule type="duplicateValues" dxfId="53" priority="2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17"/>
  <sheetViews>
    <sheetView zoomScaleNormal="100" workbookViewId="0">
      <selection activeCell="J31" sqref="J31"/>
    </sheetView>
  </sheetViews>
  <sheetFormatPr baseColWidth="10" defaultColWidth="9.1640625" defaultRowHeight="13" x14ac:dyDescent="0.2"/>
  <cols>
    <col min="1" max="1" width="18.6640625" style="10" customWidth="1"/>
    <col min="2" max="5" width="9.33203125" style="10" customWidth="1"/>
    <col min="6" max="7" width="9.1640625" style="10"/>
    <col min="8" max="8" width="12" style="10" customWidth="1"/>
    <col min="9" max="13" width="9.33203125" style="10" customWidth="1"/>
    <col min="14" max="14" width="10.83203125" style="10" customWidth="1"/>
    <col min="15" max="16384" width="9.1640625" style="10"/>
  </cols>
  <sheetData>
    <row r="1" spans="1:20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47</v>
      </c>
      <c r="I1" s="11" t="s">
        <v>83</v>
      </c>
      <c r="J1" s="11" t="s">
        <v>85</v>
      </c>
      <c r="K1" s="11" t="s">
        <v>110</v>
      </c>
      <c r="L1" s="11" t="s">
        <v>84</v>
      </c>
      <c r="M1" s="11" t="s">
        <v>111</v>
      </c>
      <c r="N1" s="10" t="s">
        <v>86</v>
      </c>
      <c r="O1" s="10" t="s">
        <v>87</v>
      </c>
      <c r="P1" s="10" t="s">
        <v>88</v>
      </c>
      <c r="Q1" s="10" t="s">
        <v>89</v>
      </c>
      <c r="R1" s="10" t="s">
        <v>90</v>
      </c>
      <c r="S1" s="10" t="s">
        <v>91</v>
      </c>
      <c r="T1" s="10" t="s">
        <v>92</v>
      </c>
    </row>
    <row r="2" spans="1:20" x14ac:dyDescent="0.2">
      <c r="A2" s="10" t="s">
        <v>93</v>
      </c>
      <c r="B2" s="10">
        <v>2022</v>
      </c>
      <c r="C2" s="11">
        <v>0.61</v>
      </c>
      <c r="D2" s="11">
        <v>0.48</v>
      </c>
      <c r="E2" s="11">
        <v>0.79</v>
      </c>
      <c r="F2" s="10" t="s">
        <v>20</v>
      </c>
      <c r="G2" s="10" t="s">
        <v>21</v>
      </c>
      <c r="H2" s="10" t="s">
        <v>114</v>
      </c>
      <c r="I2" s="10">
        <v>49.7</v>
      </c>
      <c r="J2" s="10">
        <v>108</v>
      </c>
      <c r="K2" s="10">
        <v>386</v>
      </c>
      <c r="L2" s="10">
        <v>145</v>
      </c>
      <c r="M2" s="10">
        <v>373</v>
      </c>
      <c r="N2" s="19">
        <v>35420921</v>
      </c>
    </row>
    <row r="3" spans="1:20" x14ac:dyDescent="0.2">
      <c r="A3" s="10" t="s">
        <v>95</v>
      </c>
      <c r="B3" s="10">
        <v>2018</v>
      </c>
      <c r="C3" s="11">
        <v>0.68</v>
      </c>
      <c r="D3" s="11">
        <v>0.53</v>
      </c>
      <c r="E3" s="11">
        <v>0.87</v>
      </c>
      <c r="F3" s="10" t="s">
        <v>20</v>
      </c>
      <c r="G3" s="10" t="s">
        <v>21</v>
      </c>
      <c r="H3" s="10" t="s">
        <v>114</v>
      </c>
      <c r="I3" s="10" t="s">
        <v>97</v>
      </c>
      <c r="J3" s="10" t="s">
        <v>97</v>
      </c>
      <c r="K3" s="10">
        <v>241</v>
      </c>
      <c r="L3" s="10" t="s">
        <v>97</v>
      </c>
      <c r="M3" s="10">
        <v>243</v>
      </c>
      <c r="N3" s="10">
        <v>29384722</v>
      </c>
    </row>
    <row r="4" spans="1:20" s="21" customFormat="1" x14ac:dyDescent="0.2">
      <c r="A4" s="21" t="s">
        <v>96</v>
      </c>
      <c r="B4" s="21">
        <v>2023</v>
      </c>
      <c r="C4" s="22">
        <v>0.72</v>
      </c>
      <c r="D4" s="22">
        <v>0.56999999999999995</v>
      </c>
      <c r="E4" s="22">
        <v>0.91</v>
      </c>
      <c r="F4" s="21" t="s">
        <v>20</v>
      </c>
      <c r="G4" s="21" t="s">
        <v>21</v>
      </c>
      <c r="H4" s="21" t="s">
        <v>114</v>
      </c>
      <c r="I4" s="21" t="s">
        <v>97</v>
      </c>
      <c r="J4" s="21">
        <v>136</v>
      </c>
      <c r="K4" s="21">
        <v>335</v>
      </c>
      <c r="L4" s="21">
        <v>161</v>
      </c>
      <c r="M4" s="21">
        <v>320</v>
      </c>
      <c r="N4" s="21">
        <v>36990608</v>
      </c>
    </row>
    <row r="5" spans="1:20" x14ac:dyDescent="0.2">
      <c r="A5" s="10" t="s">
        <v>98</v>
      </c>
      <c r="B5" s="10">
        <v>2015</v>
      </c>
      <c r="C5" s="18">
        <v>1.0900000000000001</v>
      </c>
      <c r="D5" s="18">
        <v>0.78</v>
      </c>
      <c r="E5" s="18">
        <v>1.51</v>
      </c>
      <c r="F5" s="10" t="s">
        <v>20</v>
      </c>
      <c r="G5" s="10" t="s">
        <v>21</v>
      </c>
      <c r="H5" s="10" t="s">
        <v>114</v>
      </c>
      <c r="I5" s="10" t="s">
        <v>97</v>
      </c>
      <c r="J5" s="10" t="s">
        <v>97</v>
      </c>
      <c r="K5" s="10" t="s">
        <v>97</v>
      </c>
      <c r="L5" s="10" t="s">
        <v>97</v>
      </c>
      <c r="M5" s="10" t="s">
        <v>97</v>
      </c>
      <c r="N5" s="13">
        <v>26610858</v>
      </c>
    </row>
    <row r="6" spans="1:20" x14ac:dyDescent="0.2">
      <c r="A6" s="16" t="s">
        <v>99</v>
      </c>
      <c r="B6" s="10">
        <v>2019</v>
      </c>
      <c r="C6" s="16">
        <v>0.67</v>
      </c>
      <c r="D6" s="16">
        <v>0.56999999999999995</v>
      </c>
      <c r="E6" s="16">
        <v>0.79</v>
      </c>
      <c r="F6" s="10" t="s">
        <v>20</v>
      </c>
      <c r="G6" s="10" t="s">
        <v>21</v>
      </c>
      <c r="H6" s="10" t="s">
        <v>114</v>
      </c>
      <c r="I6" s="11" t="s">
        <v>97</v>
      </c>
      <c r="J6" s="10">
        <v>270</v>
      </c>
      <c r="K6" s="10">
        <v>584</v>
      </c>
      <c r="L6" s="10">
        <v>332</v>
      </c>
      <c r="M6" s="10">
        <v>586</v>
      </c>
      <c r="N6" s="10">
        <v>30987939</v>
      </c>
    </row>
    <row r="7" spans="1:20" x14ac:dyDescent="0.2">
      <c r="A7" s="10" t="s">
        <v>100</v>
      </c>
      <c r="B7" s="10">
        <v>2016</v>
      </c>
      <c r="C7" s="10">
        <v>0.76</v>
      </c>
      <c r="D7" s="10">
        <v>0.62</v>
      </c>
      <c r="E7" s="10">
        <v>0.94</v>
      </c>
      <c r="F7" s="10" t="s">
        <v>20</v>
      </c>
      <c r="G7" s="10" t="s">
        <v>21</v>
      </c>
      <c r="H7" s="10" t="s">
        <v>114</v>
      </c>
      <c r="I7" s="10" t="s">
        <v>97</v>
      </c>
      <c r="J7" s="10">
        <v>126</v>
      </c>
      <c r="K7" s="10">
        <v>436</v>
      </c>
      <c r="L7" s="10">
        <v>286</v>
      </c>
      <c r="M7" s="10">
        <v>810</v>
      </c>
      <c r="N7" s="15">
        <v>26719232</v>
      </c>
    </row>
    <row r="8" spans="1:20" x14ac:dyDescent="0.2">
      <c r="A8" s="10" t="s">
        <v>101</v>
      </c>
      <c r="B8" s="10">
        <v>2017</v>
      </c>
      <c r="C8" s="10">
        <v>0.59</v>
      </c>
      <c r="D8" s="10">
        <v>0.48</v>
      </c>
      <c r="E8" s="10">
        <v>0.73</v>
      </c>
      <c r="F8" s="10" t="s">
        <v>20</v>
      </c>
      <c r="G8" s="10" t="s">
        <v>21</v>
      </c>
      <c r="H8" s="10" t="s">
        <v>114</v>
      </c>
      <c r="I8" s="10" t="s">
        <v>97</v>
      </c>
      <c r="J8" s="10">
        <v>144</v>
      </c>
      <c r="K8" s="10">
        <v>715</v>
      </c>
      <c r="L8" s="10">
        <v>216</v>
      </c>
      <c r="M8" s="10">
        <v>721</v>
      </c>
      <c r="N8" s="15">
        <v>28578639</v>
      </c>
    </row>
    <row r="9" spans="1:20" x14ac:dyDescent="0.2">
      <c r="A9" s="10" t="s">
        <v>103</v>
      </c>
      <c r="B9" s="10">
        <v>2021</v>
      </c>
      <c r="C9" s="10">
        <v>0.64</v>
      </c>
      <c r="D9" s="10">
        <v>0.51</v>
      </c>
      <c r="E9" s="10">
        <v>0.81</v>
      </c>
      <c r="F9" s="10" t="s">
        <v>20</v>
      </c>
      <c r="G9" s="10" t="s">
        <v>21</v>
      </c>
      <c r="H9" s="10" t="s">
        <v>114</v>
      </c>
      <c r="I9" s="10" t="s">
        <v>97</v>
      </c>
      <c r="J9" s="10">
        <v>122</v>
      </c>
      <c r="K9" s="10">
        <v>351</v>
      </c>
      <c r="L9" s="10">
        <v>172</v>
      </c>
      <c r="M9" s="10">
        <v>358</v>
      </c>
      <c r="N9" s="10" t="s">
        <v>144</v>
      </c>
    </row>
    <row r="10" spans="1:20" x14ac:dyDescent="0.2">
      <c r="A10" s="10" t="s">
        <v>93</v>
      </c>
      <c r="B10" s="10">
        <v>2021</v>
      </c>
      <c r="C10" s="11">
        <v>0.68</v>
      </c>
      <c r="D10" s="11">
        <v>0.44</v>
      </c>
      <c r="E10" s="11">
        <v>1.04</v>
      </c>
      <c r="F10" s="10" t="s">
        <v>20</v>
      </c>
      <c r="G10" s="10" t="s">
        <v>21</v>
      </c>
      <c r="H10" s="10" t="s">
        <v>115</v>
      </c>
      <c r="I10" s="10" t="s">
        <v>97</v>
      </c>
      <c r="J10" s="10">
        <v>38</v>
      </c>
      <c r="K10" s="10">
        <v>171</v>
      </c>
      <c r="L10" s="10">
        <v>51</v>
      </c>
      <c r="M10" s="10">
        <v>187</v>
      </c>
      <c r="N10" s="10" t="s">
        <v>116</v>
      </c>
    </row>
    <row r="11" spans="1:20" x14ac:dyDescent="0.2">
      <c r="A11" s="10" t="s">
        <v>95</v>
      </c>
      <c r="B11" s="10">
        <v>2018</v>
      </c>
      <c r="C11" s="10">
        <v>0.66</v>
      </c>
      <c r="D11" s="10">
        <v>0.42</v>
      </c>
      <c r="E11" s="10">
        <v>1.03</v>
      </c>
      <c r="F11" s="10" t="s">
        <v>20</v>
      </c>
      <c r="G11" s="10" t="s">
        <v>21</v>
      </c>
      <c r="H11" s="10" t="s">
        <v>115</v>
      </c>
      <c r="I11" s="10" t="s">
        <v>97</v>
      </c>
      <c r="J11" s="10" t="s">
        <v>97</v>
      </c>
      <c r="K11" s="10">
        <v>117</v>
      </c>
      <c r="L11" s="10" t="s">
        <v>97</v>
      </c>
      <c r="M11" s="10">
        <v>104</v>
      </c>
      <c r="N11" s="10">
        <v>29384722</v>
      </c>
    </row>
    <row r="12" spans="1:20" s="21" customFormat="1" x14ac:dyDescent="0.2">
      <c r="A12" s="21" t="s">
        <v>96</v>
      </c>
      <c r="B12" s="21">
        <v>2023</v>
      </c>
      <c r="C12" s="22">
        <v>0.6</v>
      </c>
      <c r="D12" s="22">
        <v>0.39</v>
      </c>
      <c r="E12" s="22">
        <v>0.91</v>
      </c>
      <c r="F12" s="21" t="s">
        <v>20</v>
      </c>
      <c r="G12" s="21" t="s">
        <v>21</v>
      </c>
      <c r="H12" s="21" t="s">
        <v>115</v>
      </c>
      <c r="I12" s="21" t="s">
        <v>97</v>
      </c>
      <c r="J12" s="21">
        <v>34</v>
      </c>
      <c r="K12" s="21">
        <v>152</v>
      </c>
      <c r="L12" s="21">
        <v>57</v>
      </c>
      <c r="M12" s="21">
        <v>164</v>
      </c>
      <c r="N12" s="21">
        <v>36990608</v>
      </c>
    </row>
    <row r="13" spans="1:20" x14ac:dyDescent="0.2">
      <c r="A13" s="10" t="s">
        <v>98</v>
      </c>
      <c r="B13" s="10">
        <v>2015</v>
      </c>
      <c r="C13" s="11">
        <v>0.69</v>
      </c>
      <c r="D13" s="11">
        <v>0.45</v>
      </c>
      <c r="E13" s="11">
        <v>1.05</v>
      </c>
      <c r="F13" s="10" t="s">
        <v>20</v>
      </c>
      <c r="G13" s="10" t="s">
        <v>21</v>
      </c>
      <c r="H13" s="10" t="s">
        <v>115</v>
      </c>
      <c r="I13" s="10" t="s">
        <v>97</v>
      </c>
      <c r="J13" s="10" t="s">
        <v>97</v>
      </c>
      <c r="K13" s="10" t="s">
        <v>97</v>
      </c>
      <c r="L13" s="10" t="s">
        <v>97</v>
      </c>
      <c r="M13" s="10" t="s">
        <v>97</v>
      </c>
      <c r="N13" s="13">
        <v>26610858</v>
      </c>
    </row>
    <row r="14" spans="1:20" x14ac:dyDescent="0.2">
      <c r="A14" s="16" t="s">
        <v>99</v>
      </c>
      <c r="B14" s="10">
        <v>2019</v>
      </c>
      <c r="C14" s="16">
        <v>0.44</v>
      </c>
      <c r="D14" s="16">
        <v>0.15</v>
      </c>
      <c r="E14" s="16">
        <v>1.27</v>
      </c>
      <c r="F14" s="10" t="s">
        <v>20</v>
      </c>
      <c r="G14" s="10" t="s">
        <v>21</v>
      </c>
      <c r="H14" s="10" t="s">
        <v>115</v>
      </c>
      <c r="I14" s="10" t="s">
        <v>97</v>
      </c>
      <c r="J14" s="10">
        <v>5</v>
      </c>
      <c r="K14" s="10">
        <v>13</v>
      </c>
      <c r="L14" s="10">
        <v>11</v>
      </c>
      <c r="M14" s="10">
        <v>16</v>
      </c>
      <c r="N14" s="10">
        <v>30987939</v>
      </c>
    </row>
    <row r="15" spans="1:20" x14ac:dyDescent="0.2">
      <c r="A15" s="10" t="s">
        <v>100</v>
      </c>
      <c r="B15" s="10">
        <v>2016</v>
      </c>
      <c r="C15" s="10">
        <v>0.67</v>
      </c>
      <c r="D15" s="10">
        <v>0.41</v>
      </c>
      <c r="E15" s="10">
        <v>1.07</v>
      </c>
      <c r="F15" s="10" t="s">
        <v>20</v>
      </c>
      <c r="G15" s="10" t="s">
        <v>21</v>
      </c>
      <c r="H15" s="10" t="s">
        <v>115</v>
      </c>
      <c r="I15" s="10" t="s">
        <v>97</v>
      </c>
      <c r="J15" s="10">
        <v>22</v>
      </c>
      <c r="K15" s="10">
        <v>110</v>
      </c>
      <c r="L15" s="10">
        <v>76</v>
      </c>
      <c r="M15" s="10">
        <v>282</v>
      </c>
      <c r="N15" s="14">
        <v>26719232</v>
      </c>
    </row>
    <row r="16" spans="1:20" x14ac:dyDescent="0.2">
      <c r="A16" s="10" t="s">
        <v>101</v>
      </c>
      <c r="B16" s="10">
        <v>2017</v>
      </c>
      <c r="C16" s="16">
        <v>0.76</v>
      </c>
      <c r="D16" s="16">
        <v>0.48</v>
      </c>
      <c r="E16" s="16">
        <v>1.23</v>
      </c>
      <c r="F16" s="10" t="s">
        <v>20</v>
      </c>
      <c r="G16" s="10" t="s">
        <v>21</v>
      </c>
      <c r="H16" s="10" t="s">
        <v>115</v>
      </c>
      <c r="I16" s="10" t="s">
        <v>97</v>
      </c>
      <c r="J16" s="10">
        <v>33</v>
      </c>
      <c r="K16" s="10">
        <v>221</v>
      </c>
      <c r="L16" s="10">
        <v>40</v>
      </c>
      <c r="M16" s="10">
        <v>223</v>
      </c>
      <c r="N16" s="15">
        <v>28578639</v>
      </c>
    </row>
    <row r="17" spans="1:14" x14ac:dyDescent="0.2">
      <c r="A17" s="10" t="s">
        <v>103</v>
      </c>
      <c r="B17" s="10">
        <v>2021</v>
      </c>
      <c r="C17" s="11">
        <v>0.67</v>
      </c>
      <c r="D17" s="11">
        <v>0.46</v>
      </c>
      <c r="E17" s="11">
        <v>0.98</v>
      </c>
      <c r="F17" s="10" t="s">
        <v>20</v>
      </c>
      <c r="G17" s="10" t="s">
        <v>21</v>
      </c>
      <c r="H17" s="10" t="s">
        <v>115</v>
      </c>
      <c r="I17" s="10" t="s">
        <v>97</v>
      </c>
      <c r="J17" s="10">
        <v>21</v>
      </c>
      <c r="K17" s="10">
        <v>174</v>
      </c>
      <c r="L17" s="10">
        <v>63</v>
      </c>
      <c r="M17" s="10">
        <v>169</v>
      </c>
      <c r="N17" s="10" t="s">
        <v>144</v>
      </c>
    </row>
  </sheetData>
  <phoneticPr fontId="4" type="noConversion"/>
  <conditionalFormatting sqref="N4">
    <cfRule type="duplicateValues" dxfId="52" priority="1"/>
  </conditionalFormatting>
  <conditionalFormatting sqref="N7">
    <cfRule type="duplicateValues" dxfId="51" priority="4"/>
  </conditionalFormatting>
  <conditionalFormatting sqref="N12">
    <cfRule type="duplicateValues" dxfId="50" priority="2"/>
  </conditionalFormatting>
  <conditionalFormatting sqref="N15">
    <cfRule type="duplicateValues" dxfId="49" priority="5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T18"/>
  <sheetViews>
    <sheetView zoomScaleNormal="100" workbookViewId="0">
      <selection activeCell="H43" sqref="H43"/>
    </sheetView>
  </sheetViews>
  <sheetFormatPr baseColWidth="10" defaultColWidth="9.1640625" defaultRowHeight="13" x14ac:dyDescent="0.2"/>
  <cols>
    <col min="1" max="16384" width="9.1640625" style="10"/>
  </cols>
  <sheetData>
    <row r="1" spans="1:20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0" t="s">
        <v>47</v>
      </c>
      <c r="I1" s="11" t="s">
        <v>83</v>
      </c>
      <c r="J1" s="11" t="s">
        <v>85</v>
      </c>
      <c r="K1" s="11" t="s">
        <v>110</v>
      </c>
      <c r="L1" s="11" t="s">
        <v>84</v>
      </c>
      <c r="M1" s="11" t="s">
        <v>111</v>
      </c>
      <c r="N1" s="10" t="s">
        <v>86</v>
      </c>
      <c r="O1" s="10" t="s">
        <v>87</v>
      </c>
      <c r="P1" s="10" t="s">
        <v>88</v>
      </c>
      <c r="Q1" s="10" t="s">
        <v>89</v>
      </c>
      <c r="R1" s="10" t="s">
        <v>90</v>
      </c>
      <c r="S1" s="10" t="s">
        <v>91</v>
      </c>
      <c r="T1" s="10" t="s">
        <v>92</v>
      </c>
    </row>
    <row r="2" spans="1:20" x14ac:dyDescent="0.2">
      <c r="A2" s="10" t="s">
        <v>93</v>
      </c>
      <c r="B2" s="10">
        <v>2019</v>
      </c>
      <c r="C2" s="11">
        <v>0.38</v>
      </c>
      <c r="D2" s="11">
        <v>0.28999999999999998</v>
      </c>
      <c r="E2" s="11">
        <v>0.51</v>
      </c>
      <c r="F2" s="10" t="s">
        <v>20</v>
      </c>
      <c r="G2" s="10" t="s">
        <v>21</v>
      </c>
      <c r="H2" s="10" t="s">
        <v>117</v>
      </c>
      <c r="I2" s="10" t="s">
        <v>97</v>
      </c>
      <c r="J2" s="10">
        <v>67</v>
      </c>
      <c r="K2" s="10">
        <v>448</v>
      </c>
      <c r="L2" s="10">
        <v>146</v>
      </c>
      <c r="M2" s="10">
        <v>443</v>
      </c>
      <c r="N2" s="12" t="s">
        <v>94</v>
      </c>
    </row>
    <row r="3" spans="1:20" s="21" customFormat="1" x14ac:dyDescent="0.2">
      <c r="A3" s="21" t="s">
        <v>96</v>
      </c>
      <c r="B3" s="21">
        <v>2023</v>
      </c>
      <c r="C3" s="22">
        <v>0.44</v>
      </c>
      <c r="D3" s="22">
        <v>0.37</v>
      </c>
      <c r="E3" s="22">
        <v>0.53</v>
      </c>
      <c r="F3" s="21" t="s">
        <v>20</v>
      </c>
      <c r="G3" s="21" t="s">
        <v>21</v>
      </c>
      <c r="H3" s="21" t="s">
        <v>117</v>
      </c>
      <c r="I3" s="21" t="s">
        <v>97</v>
      </c>
      <c r="J3" s="21">
        <v>178</v>
      </c>
      <c r="K3" s="21">
        <v>405</v>
      </c>
      <c r="L3" s="21">
        <v>285</v>
      </c>
      <c r="M3" s="21">
        <v>405</v>
      </c>
      <c r="N3" s="21">
        <v>36990608</v>
      </c>
    </row>
    <row r="4" spans="1:20" x14ac:dyDescent="0.2">
      <c r="A4" s="10" t="s">
        <v>99</v>
      </c>
      <c r="B4" s="10">
        <v>2017</v>
      </c>
      <c r="C4" s="16">
        <v>0.4</v>
      </c>
      <c r="D4" s="16">
        <v>0.32</v>
      </c>
      <c r="E4" s="16">
        <v>0.5</v>
      </c>
      <c r="F4" s="10" t="s">
        <v>20</v>
      </c>
      <c r="G4" s="10" t="s">
        <v>21</v>
      </c>
      <c r="H4" s="10" t="s">
        <v>117</v>
      </c>
      <c r="I4" s="10">
        <v>18.100000000000001</v>
      </c>
      <c r="J4" s="10" t="s">
        <v>97</v>
      </c>
      <c r="K4" s="10" t="s">
        <v>97</v>
      </c>
      <c r="L4" s="10" t="s">
        <v>97</v>
      </c>
      <c r="M4" s="10" t="s">
        <v>97</v>
      </c>
      <c r="N4" s="13">
        <v>28578607</v>
      </c>
    </row>
    <row r="5" spans="1:20" x14ac:dyDescent="0.2">
      <c r="A5" s="10" t="s">
        <v>103</v>
      </c>
      <c r="B5" s="10">
        <v>2019</v>
      </c>
      <c r="C5" s="11">
        <v>0.52</v>
      </c>
      <c r="D5" s="11">
        <v>0.39</v>
      </c>
      <c r="E5" s="11">
        <v>0.68</v>
      </c>
      <c r="F5" s="10" t="s">
        <v>20</v>
      </c>
      <c r="G5" s="10" t="s">
        <v>21</v>
      </c>
      <c r="H5" s="10" t="s">
        <v>117</v>
      </c>
      <c r="I5" s="10">
        <v>30.5</v>
      </c>
      <c r="J5" s="10">
        <v>79</v>
      </c>
      <c r="K5" s="10">
        <v>328</v>
      </c>
      <c r="L5" s="10">
        <v>142</v>
      </c>
      <c r="M5" s="10">
        <v>348</v>
      </c>
      <c r="N5" s="10">
        <v>31150574</v>
      </c>
    </row>
    <row r="6" spans="1:20" x14ac:dyDescent="0.2">
      <c r="A6" s="10" t="s">
        <v>93</v>
      </c>
      <c r="B6" s="10">
        <v>2019</v>
      </c>
      <c r="C6" s="10">
        <v>0.43</v>
      </c>
      <c r="D6" s="10">
        <v>0.27</v>
      </c>
      <c r="E6" s="10">
        <v>0.7</v>
      </c>
      <c r="F6" s="10" t="s">
        <v>20</v>
      </c>
      <c r="G6" s="10" t="s">
        <v>21</v>
      </c>
      <c r="H6" s="10" t="s">
        <v>118</v>
      </c>
      <c r="I6" s="10" t="s">
        <v>97</v>
      </c>
      <c r="J6" s="10">
        <v>24</v>
      </c>
      <c r="K6" s="10">
        <v>125</v>
      </c>
      <c r="L6" s="10">
        <v>55</v>
      </c>
      <c r="M6" s="10">
        <v>133</v>
      </c>
      <c r="N6" s="12" t="s">
        <v>94</v>
      </c>
    </row>
    <row r="7" spans="1:20" s="21" customFormat="1" x14ac:dyDescent="0.2">
      <c r="A7" s="21" t="s">
        <v>96</v>
      </c>
      <c r="B7" s="21">
        <v>2023</v>
      </c>
      <c r="C7" s="21">
        <v>0.46</v>
      </c>
      <c r="D7" s="21">
        <v>0.35</v>
      </c>
      <c r="E7" s="22">
        <v>0.6</v>
      </c>
      <c r="F7" s="21" t="s">
        <v>20</v>
      </c>
      <c r="G7" s="21" t="s">
        <v>21</v>
      </c>
      <c r="H7" s="21" t="s">
        <v>118</v>
      </c>
      <c r="I7" s="21" t="s">
        <v>97</v>
      </c>
      <c r="J7" s="21">
        <v>90</v>
      </c>
      <c r="K7" s="21">
        <v>158</v>
      </c>
      <c r="L7" s="21">
        <v>128</v>
      </c>
      <c r="M7" s="21">
        <v>158</v>
      </c>
      <c r="N7" s="21">
        <v>36990608</v>
      </c>
    </row>
    <row r="8" spans="1:20" x14ac:dyDescent="0.2">
      <c r="A8" s="10" t="s">
        <v>99</v>
      </c>
      <c r="B8" s="10">
        <v>2017</v>
      </c>
      <c r="C8" s="10">
        <v>0.55000000000000004</v>
      </c>
      <c r="D8" s="10">
        <v>0.44</v>
      </c>
      <c r="E8" s="10">
        <v>0.7</v>
      </c>
      <c r="F8" s="10" t="s">
        <v>20</v>
      </c>
      <c r="G8" s="10" t="s">
        <v>21</v>
      </c>
      <c r="H8" s="10" t="s">
        <v>118</v>
      </c>
      <c r="I8" s="10">
        <v>14.8</v>
      </c>
      <c r="J8" s="10" t="s">
        <v>97</v>
      </c>
      <c r="K8" s="10" t="s">
        <v>97</v>
      </c>
      <c r="L8" s="10" t="s">
        <v>97</v>
      </c>
      <c r="M8" s="10" t="s">
        <v>97</v>
      </c>
      <c r="N8" s="13">
        <v>28578607</v>
      </c>
    </row>
    <row r="9" spans="1:20" x14ac:dyDescent="0.2">
      <c r="A9" s="10" t="s">
        <v>103</v>
      </c>
      <c r="B9" s="10">
        <v>2019</v>
      </c>
      <c r="C9" s="10">
        <v>0.42</v>
      </c>
      <c r="D9" s="10">
        <v>0.3</v>
      </c>
      <c r="E9" s="10">
        <v>0.59</v>
      </c>
      <c r="F9" s="10" t="s">
        <v>20</v>
      </c>
      <c r="G9" s="10" t="s">
        <v>21</v>
      </c>
      <c r="H9" s="10" t="s">
        <v>118</v>
      </c>
      <c r="I9" s="10">
        <v>15</v>
      </c>
      <c r="J9" s="10">
        <v>55</v>
      </c>
      <c r="K9" s="10">
        <v>197</v>
      </c>
      <c r="L9" s="10">
        <v>89</v>
      </c>
      <c r="M9" s="10">
        <v>178</v>
      </c>
      <c r="N9" s="10">
        <v>31150574</v>
      </c>
      <c r="Q9" s="15"/>
    </row>
    <row r="13" spans="1:20" x14ac:dyDescent="0.2">
      <c r="P13" s="12"/>
    </row>
    <row r="15" spans="1:20" x14ac:dyDescent="0.2">
      <c r="P15" s="15"/>
    </row>
    <row r="18" spans="16:16" x14ac:dyDescent="0.2">
      <c r="P18" s="13"/>
    </row>
  </sheetData>
  <conditionalFormatting sqref="N3">
    <cfRule type="duplicateValues" dxfId="48" priority="2"/>
  </conditionalFormatting>
  <conditionalFormatting sqref="N7">
    <cfRule type="duplicateValues" dxfId="47" priority="1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17"/>
  <sheetViews>
    <sheetView zoomScale="97" zoomScaleNormal="100" workbookViewId="0">
      <selection activeCell="I27" sqref="I27"/>
    </sheetView>
  </sheetViews>
  <sheetFormatPr baseColWidth="10" defaultColWidth="9.1640625" defaultRowHeight="13" x14ac:dyDescent="0.2"/>
  <cols>
    <col min="1" max="1" width="18.6640625" style="10" customWidth="1"/>
    <col min="2" max="5" width="9.33203125" style="10" customWidth="1"/>
    <col min="6" max="11" width="9.1640625" style="10"/>
    <col min="12" max="13" width="9.33203125" style="10" customWidth="1"/>
    <col min="14" max="14" width="14.83203125" style="10" customWidth="1"/>
    <col min="15" max="16384" width="9.1640625" style="10"/>
  </cols>
  <sheetData>
    <row r="1" spans="1:21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0" t="s">
        <v>47</v>
      </c>
      <c r="I1" s="11" t="s">
        <v>83</v>
      </c>
      <c r="J1" s="11" t="s">
        <v>85</v>
      </c>
      <c r="K1" s="11" t="s">
        <v>110</v>
      </c>
      <c r="L1" s="11" t="s">
        <v>84</v>
      </c>
      <c r="M1" s="11" t="s">
        <v>111</v>
      </c>
      <c r="N1" s="10" t="s">
        <v>86</v>
      </c>
      <c r="O1" s="10" t="s">
        <v>87</v>
      </c>
      <c r="P1" s="10" t="s">
        <v>88</v>
      </c>
      <c r="Q1" s="10" t="s">
        <v>89</v>
      </c>
      <c r="R1" s="10" t="s">
        <v>90</v>
      </c>
      <c r="S1" s="10" t="s">
        <v>91</v>
      </c>
      <c r="T1" s="10" t="s">
        <v>92</v>
      </c>
    </row>
    <row r="2" spans="1:21" x14ac:dyDescent="0.2">
      <c r="A2" s="10" t="s">
        <v>93</v>
      </c>
      <c r="B2" s="10">
        <v>2022</v>
      </c>
      <c r="C2" s="11">
        <v>0.67</v>
      </c>
      <c r="D2" s="11">
        <v>0.52</v>
      </c>
      <c r="E2" s="11">
        <v>0.86</v>
      </c>
      <c r="F2" s="10" t="s">
        <v>20</v>
      </c>
      <c r="G2" s="10" t="s">
        <v>21</v>
      </c>
      <c r="H2" s="10" t="s">
        <v>117</v>
      </c>
      <c r="I2" s="10" t="s">
        <v>97</v>
      </c>
      <c r="J2" s="10">
        <v>112</v>
      </c>
      <c r="K2" s="10">
        <v>448</v>
      </c>
      <c r="L2" s="10">
        <v>143</v>
      </c>
      <c r="M2" s="10">
        <v>443</v>
      </c>
      <c r="N2" s="19">
        <v>35420921</v>
      </c>
    </row>
    <row r="3" spans="1:21" x14ac:dyDescent="0.2">
      <c r="A3" s="10" t="s">
        <v>95</v>
      </c>
      <c r="B3" s="10">
        <v>2018</v>
      </c>
      <c r="C3" s="10">
        <v>0.75</v>
      </c>
      <c r="D3" s="10">
        <v>0.57999999999999996</v>
      </c>
      <c r="E3" s="10">
        <v>0.97</v>
      </c>
      <c r="F3" s="10" t="s">
        <v>20</v>
      </c>
      <c r="G3" s="10" t="s">
        <v>21</v>
      </c>
      <c r="H3" s="10" t="s">
        <v>117</v>
      </c>
      <c r="I3" s="10" t="s">
        <v>97</v>
      </c>
      <c r="J3" s="10" t="s">
        <v>97</v>
      </c>
      <c r="K3" s="10">
        <v>277</v>
      </c>
      <c r="L3" s="10" t="s">
        <v>97</v>
      </c>
      <c r="M3" s="10">
        <v>272</v>
      </c>
      <c r="N3" s="10">
        <v>29384722</v>
      </c>
    </row>
    <row r="4" spans="1:21" s="21" customFormat="1" x14ac:dyDescent="0.2">
      <c r="A4" s="21" t="s">
        <v>96</v>
      </c>
      <c r="B4" s="21">
        <v>2023</v>
      </c>
      <c r="C4" s="22">
        <v>0.68</v>
      </c>
      <c r="D4" s="22">
        <v>0.54</v>
      </c>
      <c r="E4" s="22">
        <v>0.85</v>
      </c>
      <c r="F4" s="21" t="s">
        <v>20</v>
      </c>
      <c r="G4" s="21" t="s">
        <v>21</v>
      </c>
      <c r="H4" s="21" t="s">
        <v>117</v>
      </c>
      <c r="I4" s="21" t="s">
        <v>97</v>
      </c>
      <c r="J4" s="21">
        <v>131</v>
      </c>
      <c r="K4" s="21">
        <v>405</v>
      </c>
      <c r="L4" s="21">
        <v>176</v>
      </c>
      <c r="M4" s="21">
        <v>405</v>
      </c>
      <c r="N4" s="21">
        <v>36990608</v>
      </c>
    </row>
    <row r="5" spans="1:21" x14ac:dyDescent="0.2">
      <c r="A5" s="10" t="s">
        <v>98</v>
      </c>
      <c r="B5" s="10">
        <v>2015</v>
      </c>
      <c r="C5" s="11">
        <v>0.87</v>
      </c>
      <c r="D5" s="11">
        <v>0.66</v>
      </c>
      <c r="E5" s="11">
        <v>1.1399999999999999</v>
      </c>
      <c r="F5" s="10" t="s">
        <v>20</v>
      </c>
      <c r="G5" s="10" t="s">
        <v>21</v>
      </c>
      <c r="H5" s="10" t="s">
        <v>117</v>
      </c>
      <c r="I5" s="10" t="s">
        <v>97</v>
      </c>
      <c r="J5" s="10" t="s">
        <v>97</v>
      </c>
      <c r="K5" s="10" t="s">
        <v>97</v>
      </c>
      <c r="L5" s="10" t="s">
        <v>97</v>
      </c>
      <c r="M5" s="10" t="s">
        <v>97</v>
      </c>
      <c r="N5" s="13">
        <v>26610858</v>
      </c>
    </row>
    <row r="6" spans="1:21" x14ac:dyDescent="0.2">
      <c r="A6" s="10" t="s">
        <v>99</v>
      </c>
      <c r="B6" s="14">
        <v>2019</v>
      </c>
      <c r="C6" s="16">
        <v>0.64</v>
      </c>
      <c r="D6" s="16">
        <v>0.54</v>
      </c>
      <c r="E6" s="16">
        <v>0.75</v>
      </c>
      <c r="F6" s="10" t="s">
        <v>20</v>
      </c>
      <c r="G6" s="10" t="s">
        <v>21</v>
      </c>
      <c r="H6" s="10" t="s">
        <v>117</v>
      </c>
      <c r="I6" s="10" t="s">
        <v>97</v>
      </c>
      <c r="J6" s="10">
        <v>257</v>
      </c>
      <c r="K6" s="10">
        <v>573</v>
      </c>
      <c r="L6" s="10">
        <v>333</v>
      </c>
      <c r="M6" s="10">
        <v>586</v>
      </c>
      <c r="N6" s="10">
        <v>30987939</v>
      </c>
      <c r="U6" s="10" t="s">
        <v>119</v>
      </c>
    </row>
    <row r="7" spans="1:21" x14ac:dyDescent="0.2">
      <c r="A7" s="10" t="s">
        <v>100</v>
      </c>
      <c r="B7" s="10">
        <v>2016</v>
      </c>
      <c r="C7" s="10">
        <v>0.77</v>
      </c>
      <c r="D7" s="10">
        <v>0.62</v>
      </c>
      <c r="E7" s="10">
        <v>0.96</v>
      </c>
      <c r="F7" s="10" t="s">
        <v>20</v>
      </c>
      <c r="G7" s="10" t="s">
        <v>21</v>
      </c>
      <c r="H7" s="10" t="s">
        <v>117</v>
      </c>
      <c r="I7" s="10" t="s">
        <v>97</v>
      </c>
      <c r="J7" s="10">
        <v>119</v>
      </c>
      <c r="K7" s="10">
        <v>461</v>
      </c>
      <c r="L7" s="10">
        <v>283</v>
      </c>
      <c r="M7" s="10">
        <v>922</v>
      </c>
      <c r="N7" s="14">
        <v>26719232</v>
      </c>
    </row>
    <row r="8" spans="1:21" s="21" customFormat="1" x14ac:dyDescent="0.2">
      <c r="A8" s="21" t="s">
        <v>101</v>
      </c>
      <c r="B8" s="21">
        <v>2023</v>
      </c>
      <c r="C8" s="22">
        <v>0.63</v>
      </c>
      <c r="D8" s="22">
        <v>0.52</v>
      </c>
      <c r="E8" s="22">
        <v>0.75</v>
      </c>
      <c r="F8" s="21" t="s">
        <v>20</v>
      </c>
      <c r="G8" s="21" t="s">
        <v>21</v>
      </c>
      <c r="H8" s="21" t="s">
        <v>117</v>
      </c>
      <c r="I8" s="21" t="s">
        <v>97</v>
      </c>
      <c r="J8" s="21">
        <v>211</v>
      </c>
      <c r="K8" s="21">
        <v>376</v>
      </c>
      <c r="L8" s="21">
        <v>265</v>
      </c>
      <c r="M8" s="21">
        <v>370</v>
      </c>
      <c r="N8" s="25">
        <v>28578639</v>
      </c>
      <c r="U8" s="23">
        <v>37142371</v>
      </c>
    </row>
    <row r="9" spans="1:21" x14ac:dyDescent="0.2">
      <c r="A9" s="10" t="s">
        <v>103</v>
      </c>
      <c r="B9" s="10">
        <v>2021</v>
      </c>
      <c r="C9" s="11">
        <v>0.68</v>
      </c>
      <c r="D9" s="11">
        <v>0.52</v>
      </c>
      <c r="E9" s="11">
        <v>0.89</v>
      </c>
      <c r="F9" s="10" t="s">
        <v>20</v>
      </c>
      <c r="G9" s="10" t="s">
        <v>21</v>
      </c>
      <c r="H9" s="10" t="s">
        <v>117</v>
      </c>
      <c r="I9" s="10" t="s">
        <v>97</v>
      </c>
      <c r="J9" s="10">
        <v>94</v>
      </c>
      <c r="K9" s="10">
        <v>328</v>
      </c>
      <c r="L9" s="10">
        <v>134</v>
      </c>
      <c r="M9" s="10">
        <v>348</v>
      </c>
      <c r="N9" s="10" t="s">
        <v>144</v>
      </c>
    </row>
    <row r="10" spans="1:21" x14ac:dyDescent="0.2">
      <c r="A10" s="10" t="s">
        <v>93</v>
      </c>
      <c r="B10" s="10">
        <v>2021</v>
      </c>
      <c r="C10" s="11">
        <v>0.65</v>
      </c>
      <c r="D10" s="11">
        <v>0.44</v>
      </c>
      <c r="E10" s="11">
        <v>0.97</v>
      </c>
      <c r="F10" s="10" t="s">
        <v>20</v>
      </c>
      <c r="G10" s="10" t="s">
        <v>21</v>
      </c>
      <c r="H10" s="10" t="s">
        <v>118</v>
      </c>
      <c r="I10" s="10">
        <v>45.9</v>
      </c>
      <c r="J10" s="10">
        <v>42</v>
      </c>
      <c r="K10" s="10">
        <v>125</v>
      </c>
      <c r="L10" s="10">
        <v>59</v>
      </c>
      <c r="M10" s="10">
        <v>133</v>
      </c>
      <c r="N10" s="10" t="s">
        <v>116</v>
      </c>
    </row>
    <row r="11" spans="1:21" x14ac:dyDescent="0.2">
      <c r="A11" s="10" t="s">
        <v>95</v>
      </c>
      <c r="B11" s="10">
        <v>2018</v>
      </c>
      <c r="C11" s="10">
        <v>0.57999999999999996</v>
      </c>
      <c r="D11" s="10">
        <v>0.41</v>
      </c>
      <c r="E11" s="10">
        <v>0.83</v>
      </c>
      <c r="F11" s="10" t="s">
        <v>20</v>
      </c>
      <c r="G11" s="10" t="s">
        <v>21</v>
      </c>
      <c r="H11" s="10" t="s">
        <v>118</v>
      </c>
      <c r="I11" s="10" t="s">
        <v>97</v>
      </c>
      <c r="J11" s="10" t="s">
        <v>97</v>
      </c>
      <c r="K11" s="10">
        <v>126</v>
      </c>
      <c r="L11" s="10" t="s">
        <v>97</v>
      </c>
      <c r="M11" s="10">
        <v>121</v>
      </c>
      <c r="N11" s="10">
        <v>29384722</v>
      </c>
    </row>
    <row r="12" spans="1:21" s="21" customFormat="1" x14ac:dyDescent="0.2">
      <c r="A12" s="21" t="s">
        <v>96</v>
      </c>
      <c r="B12" s="21">
        <v>2023</v>
      </c>
      <c r="C12" s="22">
        <v>0.72</v>
      </c>
      <c r="D12" s="22">
        <v>0.53</v>
      </c>
      <c r="E12" s="22">
        <v>0.97</v>
      </c>
      <c r="F12" s="21" t="s">
        <v>20</v>
      </c>
      <c r="G12" s="21" t="s">
        <v>21</v>
      </c>
      <c r="H12" s="21" t="s">
        <v>118</v>
      </c>
      <c r="I12" s="21" t="s">
        <v>97</v>
      </c>
      <c r="J12" s="21">
        <v>77</v>
      </c>
      <c r="K12" s="21">
        <v>158</v>
      </c>
      <c r="L12" s="21">
        <v>92</v>
      </c>
      <c r="M12" s="21">
        <v>158</v>
      </c>
      <c r="N12" s="21">
        <v>36990608</v>
      </c>
    </row>
    <row r="13" spans="1:21" x14ac:dyDescent="0.2">
      <c r="A13" s="10" t="s">
        <v>98</v>
      </c>
      <c r="B13" s="10">
        <v>2015</v>
      </c>
      <c r="C13" s="11">
        <v>1.21</v>
      </c>
      <c r="D13" s="11">
        <v>0.11</v>
      </c>
      <c r="E13" s="11">
        <v>13</v>
      </c>
      <c r="F13" s="10" t="s">
        <v>20</v>
      </c>
      <c r="G13" s="10" t="s">
        <v>21</v>
      </c>
      <c r="H13" s="10" t="s">
        <v>118</v>
      </c>
      <c r="I13" s="10" t="s">
        <v>97</v>
      </c>
      <c r="J13" s="10" t="s">
        <v>97</v>
      </c>
      <c r="K13" s="10" t="s">
        <v>97</v>
      </c>
      <c r="L13" s="10" t="s">
        <v>97</v>
      </c>
      <c r="M13" s="10" t="s">
        <v>97</v>
      </c>
      <c r="N13" s="13">
        <v>26610858</v>
      </c>
    </row>
    <row r="14" spans="1:21" x14ac:dyDescent="0.2">
      <c r="A14" s="10" t="s">
        <v>99</v>
      </c>
      <c r="B14" s="14">
        <v>2019</v>
      </c>
      <c r="C14" s="16">
        <v>1.42</v>
      </c>
      <c r="D14" s="16">
        <v>0.65</v>
      </c>
      <c r="E14" s="16">
        <v>3.08</v>
      </c>
      <c r="F14" s="10" t="s">
        <v>20</v>
      </c>
      <c r="G14" s="10" t="s">
        <v>21</v>
      </c>
      <c r="H14" s="10" t="s">
        <v>118</v>
      </c>
      <c r="I14" s="10" t="s">
        <v>97</v>
      </c>
      <c r="J14" s="10">
        <v>18</v>
      </c>
      <c r="K14" s="10">
        <v>24</v>
      </c>
      <c r="L14" s="10">
        <v>10</v>
      </c>
      <c r="M14" s="10">
        <v>16</v>
      </c>
      <c r="N14" s="17">
        <v>30987939</v>
      </c>
    </row>
    <row r="15" spans="1:21" x14ac:dyDescent="0.2">
      <c r="A15" s="10" t="s">
        <v>100</v>
      </c>
      <c r="B15" s="10">
        <v>2016</v>
      </c>
      <c r="C15" s="10">
        <v>0.79</v>
      </c>
      <c r="D15" s="10">
        <v>0.56999999999999995</v>
      </c>
      <c r="E15" s="10">
        <v>1.0900000000000001</v>
      </c>
      <c r="F15" s="10" t="s">
        <v>20</v>
      </c>
      <c r="G15" s="10" t="s">
        <v>21</v>
      </c>
      <c r="H15" s="10" t="s">
        <v>118</v>
      </c>
      <c r="I15" s="10" t="s">
        <v>97</v>
      </c>
      <c r="J15" s="10">
        <v>56</v>
      </c>
      <c r="K15" s="10">
        <v>131</v>
      </c>
      <c r="L15" s="10">
        <v>132</v>
      </c>
      <c r="M15" s="10">
        <v>262</v>
      </c>
      <c r="N15" s="14">
        <v>26719232</v>
      </c>
    </row>
    <row r="16" spans="1:21" s="21" customFormat="1" x14ac:dyDescent="0.2">
      <c r="A16" s="21" t="s">
        <v>101</v>
      </c>
      <c r="B16" s="21">
        <v>2023</v>
      </c>
      <c r="C16" s="22">
        <v>0.61</v>
      </c>
      <c r="D16" s="22">
        <v>0.45</v>
      </c>
      <c r="E16" s="22">
        <v>0.82</v>
      </c>
      <c r="F16" s="21" t="s">
        <v>20</v>
      </c>
      <c r="G16" s="21" t="s">
        <v>21</v>
      </c>
      <c r="H16" s="21" t="s">
        <v>118</v>
      </c>
      <c r="I16" s="21" t="s">
        <v>97</v>
      </c>
      <c r="J16" s="21">
        <v>82</v>
      </c>
      <c r="K16" s="21">
        <v>125</v>
      </c>
      <c r="L16" s="21">
        <v>106</v>
      </c>
      <c r="M16" s="21">
        <v>132</v>
      </c>
      <c r="N16" s="25">
        <v>28578639</v>
      </c>
      <c r="U16" s="23">
        <v>37142371</v>
      </c>
    </row>
    <row r="17" spans="1:16" x14ac:dyDescent="0.2">
      <c r="A17" s="10" t="s">
        <v>103</v>
      </c>
      <c r="B17" s="10">
        <v>2019</v>
      </c>
      <c r="C17" s="11">
        <v>0.56000000000000005</v>
      </c>
      <c r="D17" s="11">
        <v>0.42</v>
      </c>
      <c r="E17" s="11">
        <v>0.76</v>
      </c>
      <c r="F17" s="10" t="s">
        <v>20</v>
      </c>
      <c r="G17" s="10" t="s">
        <v>21</v>
      </c>
      <c r="H17" s="10" t="s">
        <v>118</v>
      </c>
      <c r="I17" s="10" t="s">
        <v>97</v>
      </c>
      <c r="J17" s="10">
        <v>76</v>
      </c>
      <c r="K17" s="10">
        <v>197</v>
      </c>
      <c r="L17" s="10">
        <v>101</v>
      </c>
      <c r="M17" s="10">
        <v>178</v>
      </c>
      <c r="N17" s="10" t="s">
        <v>144</v>
      </c>
      <c r="P17" s="13"/>
    </row>
  </sheetData>
  <conditionalFormatting sqref="N4">
    <cfRule type="duplicateValues" dxfId="46" priority="2"/>
  </conditionalFormatting>
  <conditionalFormatting sqref="N7">
    <cfRule type="duplicateValues" dxfId="45" priority="4"/>
  </conditionalFormatting>
  <conditionalFormatting sqref="N12">
    <cfRule type="duplicateValues" dxfId="44" priority="1"/>
  </conditionalFormatting>
  <conditionalFormatting sqref="N15">
    <cfRule type="duplicateValues" dxfId="43" priority="5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18"/>
  <sheetViews>
    <sheetView zoomScale="83" zoomScaleNormal="83" workbookViewId="0">
      <selection activeCell="I1" sqref="I1:L1"/>
    </sheetView>
  </sheetViews>
  <sheetFormatPr baseColWidth="10" defaultColWidth="9.1640625" defaultRowHeight="13" x14ac:dyDescent="0.2"/>
  <cols>
    <col min="1" max="1" width="9.1640625" style="10"/>
    <col min="2" max="5" width="9.33203125" style="10" customWidth="1"/>
    <col min="6" max="7" width="9.1640625" style="10"/>
    <col min="8" max="12" width="9.33203125" style="10" customWidth="1"/>
    <col min="13" max="13" width="10.83203125" style="10" customWidth="1"/>
    <col min="14" max="16384" width="9.1640625" style="10"/>
  </cols>
  <sheetData>
    <row r="1" spans="1:19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83</v>
      </c>
      <c r="I1" s="11" t="s">
        <v>85</v>
      </c>
      <c r="J1" s="11" t="s">
        <v>110</v>
      </c>
      <c r="K1" s="11" t="s">
        <v>84</v>
      </c>
      <c r="L1" s="11" t="s">
        <v>111</v>
      </c>
      <c r="M1" s="10" t="s">
        <v>86</v>
      </c>
      <c r="N1" s="10" t="s">
        <v>87</v>
      </c>
      <c r="O1" s="10" t="s">
        <v>88</v>
      </c>
      <c r="P1" s="10" t="s">
        <v>89</v>
      </c>
      <c r="Q1" s="10" t="s">
        <v>90</v>
      </c>
      <c r="R1" s="10" t="s">
        <v>91</v>
      </c>
      <c r="S1" s="10" t="s">
        <v>92</v>
      </c>
    </row>
    <row r="2" spans="1:19" x14ac:dyDescent="0.2">
      <c r="A2" s="10" t="s">
        <v>93</v>
      </c>
      <c r="B2" s="10">
        <v>2019</v>
      </c>
      <c r="C2" s="10">
        <v>0.36</v>
      </c>
      <c r="D2" s="10">
        <v>0.27</v>
      </c>
      <c r="E2" s="10">
        <v>0.48</v>
      </c>
      <c r="F2" s="10" t="s">
        <v>20</v>
      </c>
      <c r="G2" s="10" t="s">
        <v>21</v>
      </c>
      <c r="H2" s="10" t="s">
        <v>97</v>
      </c>
      <c r="I2" s="10">
        <v>65</v>
      </c>
      <c r="J2" s="10">
        <v>386</v>
      </c>
      <c r="K2" s="10">
        <v>151</v>
      </c>
      <c r="L2" s="10">
        <v>373</v>
      </c>
      <c r="M2" s="12" t="s">
        <v>94</v>
      </c>
    </row>
    <row r="3" spans="1:19" s="21" customFormat="1" x14ac:dyDescent="0.2">
      <c r="A3" s="21" t="s">
        <v>96</v>
      </c>
      <c r="B3" s="21">
        <v>2023</v>
      </c>
      <c r="C3" s="21">
        <v>0.45</v>
      </c>
      <c r="D3" s="21">
        <v>0.37</v>
      </c>
      <c r="E3" s="21">
        <v>0.55000000000000004</v>
      </c>
      <c r="F3" s="21" t="s">
        <v>20</v>
      </c>
      <c r="G3" s="21" t="s">
        <v>21</v>
      </c>
      <c r="H3" s="21" t="s">
        <v>97</v>
      </c>
      <c r="I3" s="21">
        <v>171</v>
      </c>
      <c r="J3" s="21">
        <v>335</v>
      </c>
      <c r="K3" s="21">
        <v>245</v>
      </c>
      <c r="L3" s="21">
        <v>320</v>
      </c>
      <c r="M3" s="21">
        <v>36990608</v>
      </c>
    </row>
    <row r="4" spans="1:19" x14ac:dyDescent="0.2">
      <c r="A4" s="16" t="s">
        <v>99</v>
      </c>
      <c r="B4" s="10">
        <v>2017</v>
      </c>
      <c r="C4" s="16">
        <v>0.47</v>
      </c>
      <c r="D4" s="16">
        <v>0.4</v>
      </c>
      <c r="E4" s="16">
        <v>0.55000000000000004</v>
      </c>
      <c r="F4" s="10" t="s">
        <v>20</v>
      </c>
      <c r="G4" s="10" t="s">
        <v>21</v>
      </c>
      <c r="H4" s="11">
        <v>14.8</v>
      </c>
      <c r="I4" s="11" t="s">
        <v>97</v>
      </c>
      <c r="J4" s="11" t="s">
        <v>97</v>
      </c>
      <c r="K4" s="10" t="s">
        <v>97</v>
      </c>
      <c r="L4" s="10" t="s">
        <v>97</v>
      </c>
      <c r="M4" s="10">
        <v>28578607</v>
      </c>
    </row>
    <row r="5" spans="1:19" x14ac:dyDescent="0.2">
      <c r="A5" s="10" t="s">
        <v>103</v>
      </c>
      <c r="B5" s="10">
        <v>2019</v>
      </c>
      <c r="C5" s="11">
        <v>0.48</v>
      </c>
      <c r="D5" s="10">
        <v>0.37</v>
      </c>
      <c r="E5" s="10">
        <v>0.61</v>
      </c>
      <c r="F5" s="10" t="s">
        <v>20</v>
      </c>
      <c r="G5" s="10" t="s">
        <v>21</v>
      </c>
      <c r="H5" s="10">
        <v>18.600000000000001</v>
      </c>
      <c r="I5" s="10">
        <v>93</v>
      </c>
      <c r="J5" s="10">
        <v>351</v>
      </c>
      <c r="K5" s="10">
        <v>166</v>
      </c>
      <c r="L5" s="10">
        <v>358</v>
      </c>
      <c r="M5" s="10">
        <v>31150574</v>
      </c>
    </row>
    <row r="6" spans="1:19" x14ac:dyDescent="0.2">
      <c r="M6" s="13"/>
    </row>
    <row r="12" spans="1:19" x14ac:dyDescent="0.2">
      <c r="A12" s="16"/>
      <c r="B12" s="16"/>
    </row>
    <row r="13" spans="1:19" x14ac:dyDescent="0.2">
      <c r="O13" s="12"/>
    </row>
    <row r="15" spans="1:19" x14ac:dyDescent="0.2">
      <c r="O15" s="15"/>
    </row>
    <row r="18" spans="15:15" x14ac:dyDescent="0.2">
      <c r="O18" s="13"/>
    </row>
  </sheetData>
  <conditionalFormatting sqref="M3">
    <cfRule type="duplicateValues" dxfId="42" priority="1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18"/>
  <sheetViews>
    <sheetView zoomScale="83" zoomScaleNormal="83" workbookViewId="0">
      <selection activeCell="I11" sqref="I11"/>
    </sheetView>
  </sheetViews>
  <sheetFormatPr baseColWidth="10" defaultColWidth="9.1640625" defaultRowHeight="13" x14ac:dyDescent="0.2"/>
  <cols>
    <col min="1" max="1" width="13.5" style="10" customWidth="1"/>
    <col min="2" max="5" width="9.33203125" style="10" customWidth="1"/>
    <col min="6" max="7" width="9.1640625" style="10"/>
    <col min="8" max="12" width="9.33203125" style="10" customWidth="1"/>
    <col min="13" max="13" width="10.83203125" style="10" customWidth="1"/>
    <col min="14" max="16384" width="9.1640625" style="10"/>
  </cols>
  <sheetData>
    <row r="1" spans="1:19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83</v>
      </c>
      <c r="I1" s="11" t="s">
        <v>85</v>
      </c>
      <c r="J1" s="11" t="s">
        <v>110</v>
      </c>
      <c r="K1" s="11" t="s">
        <v>84</v>
      </c>
      <c r="L1" s="11" t="s">
        <v>111</v>
      </c>
      <c r="M1" s="10" t="s">
        <v>86</v>
      </c>
      <c r="N1" s="10" t="s">
        <v>87</v>
      </c>
      <c r="O1" s="10" t="s">
        <v>88</v>
      </c>
      <c r="P1" s="10" t="s">
        <v>89</v>
      </c>
      <c r="Q1" s="10" t="s">
        <v>90</v>
      </c>
      <c r="R1" s="10" t="s">
        <v>91</v>
      </c>
      <c r="S1" s="10" t="s">
        <v>92</v>
      </c>
    </row>
    <row r="2" spans="1:19" x14ac:dyDescent="0.2">
      <c r="A2" s="10" t="s">
        <v>93</v>
      </c>
      <c r="B2" s="10">
        <v>2019</v>
      </c>
      <c r="C2" s="11">
        <v>0.42</v>
      </c>
      <c r="D2" s="11">
        <v>0.25</v>
      </c>
      <c r="E2" s="11">
        <v>0.7</v>
      </c>
      <c r="F2" s="10" t="s">
        <v>20</v>
      </c>
      <c r="G2" s="10" t="s">
        <v>21</v>
      </c>
      <c r="H2" s="10" t="s">
        <v>97</v>
      </c>
      <c r="I2" s="10">
        <v>21</v>
      </c>
      <c r="J2" s="10">
        <v>171</v>
      </c>
      <c r="K2" s="10">
        <v>47</v>
      </c>
      <c r="L2" s="10">
        <v>187</v>
      </c>
      <c r="M2" s="12" t="s">
        <v>94</v>
      </c>
    </row>
    <row r="3" spans="1:19" s="21" customFormat="1" x14ac:dyDescent="0.2">
      <c r="A3" s="21" t="s">
        <v>96</v>
      </c>
      <c r="B3" s="21">
        <v>2023</v>
      </c>
      <c r="C3" s="22">
        <v>0.39</v>
      </c>
      <c r="D3" s="22">
        <v>0.28000000000000003</v>
      </c>
      <c r="E3" s="22">
        <v>0.55000000000000004</v>
      </c>
      <c r="F3" s="21" t="s">
        <v>20</v>
      </c>
      <c r="G3" s="21" t="s">
        <v>21</v>
      </c>
      <c r="H3" s="21" t="s">
        <v>97</v>
      </c>
      <c r="I3" s="21">
        <v>49</v>
      </c>
      <c r="J3" s="21">
        <v>152</v>
      </c>
      <c r="K3" s="21">
        <v>102</v>
      </c>
      <c r="L3" s="21">
        <v>164</v>
      </c>
      <c r="M3" s="21">
        <v>36990608</v>
      </c>
    </row>
    <row r="4" spans="1:19" x14ac:dyDescent="0.2">
      <c r="A4" s="10" t="s">
        <v>99</v>
      </c>
      <c r="B4" s="10">
        <v>2017</v>
      </c>
      <c r="C4" s="10">
        <v>0.47</v>
      </c>
      <c r="D4" s="10">
        <v>0.15</v>
      </c>
      <c r="E4" s="10">
        <v>1.46</v>
      </c>
      <c r="F4" s="10" t="s">
        <v>20</v>
      </c>
      <c r="G4" s="10" t="s">
        <v>21</v>
      </c>
      <c r="H4" s="10">
        <v>19.399999999999999</v>
      </c>
      <c r="I4" s="10" t="s">
        <v>97</v>
      </c>
      <c r="J4" s="10" t="s">
        <v>97</v>
      </c>
      <c r="K4" s="10" t="s">
        <v>97</v>
      </c>
      <c r="L4" s="10" t="s">
        <v>97</v>
      </c>
      <c r="M4" s="10">
        <v>28578607</v>
      </c>
    </row>
    <row r="5" spans="1:19" x14ac:dyDescent="0.2">
      <c r="A5" s="10" t="s">
        <v>103</v>
      </c>
      <c r="B5" s="10">
        <v>2019</v>
      </c>
      <c r="C5" s="16">
        <v>0.53</v>
      </c>
      <c r="D5" s="16">
        <v>0.36</v>
      </c>
      <c r="E5" s="16">
        <v>0.78</v>
      </c>
      <c r="F5" s="10" t="s">
        <v>20</v>
      </c>
      <c r="G5" s="10" t="s">
        <v>21</v>
      </c>
      <c r="H5" s="10">
        <v>30.5</v>
      </c>
      <c r="I5" s="10">
        <v>41</v>
      </c>
      <c r="J5" s="10">
        <v>174</v>
      </c>
      <c r="K5" s="10">
        <v>65</v>
      </c>
      <c r="L5" s="10">
        <v>169</v>
      </c>
      <c r="M5" s="10">
        <v>31150574</v>
      </c>
    </row>
    <row r="8" spans="1:19" x14ac:dyDescent="0.2">
      <c r="A8" s="16"/>
      <c r="B8" s="16"/>
    </row>
    <row r="9" spans="1:19" x14ac:dyDescent="0.2">
      <c r="A9" s="16"/>
      <c r="B9" s="16"/>
    </row>
    <row r="13" spans="1:19" x14ac:dyDescent="0.2">
      <c r="O13" s="12"/>
    </row>
    <row r="15" spans="1:19" x14ac:dyDescent="0.2">
      <c r="O15" s="15"/>
    </row>
    <row r="18" spans="15:15" x14ac:dyDescent="0.2">
      <c r="O18" s="13"/>
    </row>
  </sheetData>
  <conditionalFormatting sqref="M3">
    <cfRule type="duplicateValues" dxfId="41" priority="1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14"/>
  <sheetViews>
    <sheetView zoomScale="83" zoomScaleNormal="83" workbookViewId="0">
      <selection activeCell="J15" sqref="J15"/>
    </sheetView>
  </sheetViews>
  <sheetFormatPr baseColWidth="10" defaultColWidth="9.1640625" defaultRowHeight="13" x14ac:dyDescent="0.2"/>
  <cols>
    <col min="1" max="1" width="18.6640625" style="10" customWidth="1"/>
    <col min="2" max="5" width="9.33203125" style="10" customWidth="1"/>
    <col min="6" max="7" width="9.1640625" style="10"/>
    <col min="8" max="12" width="9.33203125" style="10" customWidth="1"/>
    <col min="13" max="13" width="10.83203125" style="10" customWidth="1"/>
    <col min="14" max="16384" width="9.1640625" style="10"/>
  </cols>
  <sheetData>
    <row r="1" spans="1:19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83</v>
      </c>
      <c r="I1" s="11" t="s">
        <v>85</v>
      </c>
      <c r="J1" s="11" t="s">
        <v>110</v>
      </c>
      <c r="K1" s="11" t="s">
        <v>84</v>
      </c>
      <c r="L1" s="11" t="s">
        <v>111</v>
      </c>
      <c r="M1" s="10" t="s">
        <v>86</v>
      </c>
      <c r="N1" s="10" t="s">
        <v>87</v>
      </c>
      <c r="O1" s="10" t="s">
        <v>88</v>
      </c>
      <c r="P1" s="10" t="s">
        <v>89</v>
      </c>
      <c r="Q1" s="10" t="s">
        <v>90</v>
      </c>
      <c r="R1" s="10" t="s">
        <v>91</v>
      </c>
      <c r="S1" s="10" t="s">
        <v>92</v>
      </c>
    </row>
    <row r="2" spans="1:19" x14ac:dyDescent="0.2">
      <c r="A2" s="10" t="s">
        <v>93</v>
      </c>
      <c r="B2" s="10">
        <v>2022</v>
      </c>
      <c r="C2" s="11">
        <v>0.61</v>
      </c>
      <c r="D2" s="11">
        <v>0.48</v>
      </c>
      <c r="E2" s="11">
        <v>0.79</v>
      </c>
      <c r="F2" s="10" t="s">
        <v>20</v>
      </c>
      <c r="G2" s="10" t="s">
        <v>21</v>
      </c>
      <c r="H2" s="10">
        <v>49.7</v>
      </c>
      <c r="I2" s="10">
        <v>108</v>
      </c>
      <c r="J2" s="10">
        <v>386</v>
      </c>
      <c r="K2" s="10">
        <v>145</v>
      </c>
      <c r="L2" s="10">
        <v>373</v>
      </c>
      <c r="M2" s="19">
        <v>35420921</v>
      </c>
    </row>
    <row r="3" spans="1:19" x14ac:dyDescent="0.2">
      <c r="A3" s="10" t="s">
        <v>95</v>
      </c>
      <c r="B3" s="10">
        <v>2018</v>
      </c>
      <c r="C3" s="11">
        <v>0.68</v>
      </c>
      <c r="D3" s="11">
        <v>0.53</v>
      </c>
      <c r="E3" s="11">
        <v>0.87</v>
      </c>
      <c r="F3" s="10" t="s">
        <v>20</v>
      </c>
      <c r="G3" s="10" t="s">
        <v>21</v>
      </c>
      <c r="H3" s="10" t="s">
        <v>97</v>
      </c>
      <c r="I3" s="10" t="s">
        <v>97</v>
      </c>
      <c r="J3" s="10">
        <v>241</v>
      </c>
      <c r="K3" s="10" t="s">
        <v>97</v>
      </c>
      <c r="L3" s="10">
        <v>243</v>
      </c>
      <c r="M3" s="10">
        <v>29384722</v>
      </c>
    </row>
    <row r="4" spans="1:19" s="21" customFormat="1" x14ac:dyDescent="0.2">
      <c r="A4" s="21" t="s">
        <v>96</v>
      </c>
      <c r="B4" s="21">
        <v>2023</v>
      </c>
      <c r="C4" s="22">
        <v>0.72</v>
      </c>
      <c r="D4" s="22">
        <v>0.56999999999999995</v>
      </c>
      <c r="E4" s="22">
        <v>0.91</v>
      </c>
      <c r="F4" s="21" t="s">
        <v>20</v>
      </c>
      <c r="G4" s="21" t="s">
        <v>21</v>
      </c>
      <c r="H4" s="21" t="s">
        <v>97</v>
      </c>
      <c r="I4" s="21">
        <v>136</v>
      </c>
      <c r="J4" s="21">
        <v>335</v>
      </c>
      <c r="K4" s="21">
        <v>161</v>
      </c>
      <c r="L4" s="21">
        <v>320</v>
      </c>
      <c r="M4" s="21">
        <v>36990608</v>
      </c>
    </row>
    <row r="5" spans="1:19" x14ac:dyDescent="0.2">
      <c r="A5" s="10" t="s">
        <v>98</v>
      </c>
      <c r="B5" s="10">
        <v>2015</v>
      </c>
      <c r="C5" s="18">
        <v>1.0900000000000001</v>
      </c>
      <c r="D5" s="18">
        <v>0.78</v>
      </c>
      <c r="E5" s="18">
        <v>1.51</v>
      </c>
      <c r="F5" s="10" t="s">
        <v>20</v>
      </c>
      <c r="G5" s="10" t="s">
        <v>21</v>
      </c>
      <c r="H5" s="10" t="s">
        <v>97</v>
      </c>
      <c r="I5" s="10" t="s">
        <v>97</v>
      </c>
      <c r="J5" s="10" t="s">
        <v>97</v>
      </c>
      <c r="K5" s="10" t="s">
        <v>97</v>
      </c>
      <c r="L5" s="10" t="s">
        <v>97</v>
      </c>
      <c r="M5" s="13">
        <v>26610858</v>
      </c>
    </row>
    <row r="6" spans="1:19" x14ac:dyDescent="0.2">
      <c r="A6" s="16" t="s">
        <v>99</v>
      </c>
      <c r="B6" s="10">
        <v>2019</v>
      </c>
      <c r="C6" s="16">
        <v>0.67</v>
      </c>
      <c r="D6" s="16">
        <v>0.56999999999999995</v>
      </c>
      <c r="E6" s="16">
        <v>0.79</v>
      </c>
      <c r="F6" s="10" t="s">
        <v>20</v>
      </c>
      <c r="G6" s="10" t="s">
        <v>21</v>
      </c>
      <c r="H6" s="11" t="s">
        <v>97</v>
      </c>
      <c r="I6" s="10">
        <v>270</v>
      </c>
      <c r="J6" s="10">
        <v>584</v>
      </c>
      <c r="K6" s="10">
        <v>332</v>
      </c>
      <c r="L6" s="10">
        <v>586</v>
      </c>
      <c r="M6" s="10">
        <v>30987939</v>
      </c>
    </row>
    <row r="7" spans="1:19" x14ac:dyDescent="0.2">
      <c r="A7" s="10" t="s">
        <v>100</v>
      </c>
      <c r="B7" s="10">
        <v>2016</v>
      </c>
      <c r="C7" s="10">
        <v>0.76</v>
      </c>
      <c r="D7" s="10">
        <v>0.62</v>
      </c>
      <c r="E7" s="10">
        <v>0.94</v>
      </c>
      <c r="F7" s="10" t="s">
        <v>20</v>
      </c>
      <c r="G7" s="10" t="s">
        <v>21</v>
      </c>
      <c r="H7" s="10" t="s">
        <v>97</v>
      </c>
      <c r="I7" s="10">
        <v>126</v>
      </c>
      <c r="J7" s="10">
        <v>436</v>
      </c>
      <c r="K7" s="10">
        <v>286</v>
      </c>
      <c r="L7" s="10">
        <v>810</v>
      </c>
      <c r="M7" s="15">
        <v>26719232</v>
      </c>
    </row>
    <row r="8" spans="1:19" x14ac:dyDescent="0.2">
      <c r="A8" s="10" t="s">
        <v>101</v>
      </c>
      <c r="B8" s="10">
        <v>2017</v>
      </c>
      <c r="C8" s="10">
        <v>0.59</v>
      </c>
      <c r="D8" s="10">
        <v>0.48</v>
      </c>
      <c r="E8" s="10">
        <v>0.73</v>
      </c>
      <c r="F8" s="10" t="s">
        <v>20</v>
      </c>
      <c r="G8" s="10" t="s">
        <v>21</v>
      </c>
      <c r="H8" s="10" t="s">
        <v>97</v>
      </c>
      <c r="I8" s="10">
        <v>144</v>
      </c>
      <c r="J8" s="10">
        <v>715</v>
      </c>
      <c r="K8" s="10">
        <v>216</v>
      </c>
      <c r="L8" s="10">
        <v>721</v>
      </c>
      <c r="M8" s="15">
        <v>28578639</v>
      </c>
    </row>
    <row r="9" spans="1:19" x14ac:dyDescent="0.2">
      <c r="A9" s="10" t="s">
        <v>103</v>
      </c>
      <c r="B9" s="10">
        <v>2021</v>
      </c>
      <c r="C9" s="10">
        <v>0.64</v>
      </c>
      <c r="D9" s="10">
        <v>0.51</v>
      </c>
      <c r="E9" s="10">
        <v>0.81</v>
      </c>
      <c r="F9" s="10" t="s">
        <v>20</v>
      </c>
      <c r="G9" s="10" t="s">
        <v>21</v>
      </c>
      <c r="H9" s="10" t="s">
        <v>97</v>
      </c>
      <c r="I9" s="10">
        <v>122</v>
      </c>
      <c r="J9" s="10">
        <v>351</v>
      </c>
      <c r="K9" s="10">
        <v>172</v>
      </c>
      <c r="L9" s="10">
        <v>358</v>
      </c>
      <c r="M9" s="10" t="s">
        <v>144</v>
      </c>
    </row>
    <row r="13" spans="1:19" x14ac:dyDescent="0.2">
      <c r="A13" s="16"/>
      <c r="B13" s="16"/>
    </row>
    <row r="14" spans="1:19" x14ac:dyDescent="0.2">
      <c r="A14" s="16"/>
      <c r="B14" s="16"/>
    </row>
  </sheetData>
  <conditionalFormatting sqref="M4">
    <cfRule type="duplicateValues" dxfId="40" priority="1"/>
  </conditionalFormatting>
  <conditionalFormatting sqref="M7">
    <cfRule type="duplicateValues" dxfId="39" priority="3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S18"/>
  <sheetViews>
    <sheetView zoomScale="83" zoomScaleNormal="83" workbookViewId="0">
      <selection activeCell="G29" sqref="G29"/>
    </sheetView>
  </sheetViews>
  <sheetFormatPr baseColWidth="10" defaultColWidth="9.1640625" defaultRowHeight="13" x14ac:dyDescent="0.2"/>
  <cols>
    <col min="1" max="1" width="18.6640625" style="10" customWidth="1"/>
    <col min="2" max="5" width="9.33203125" style="10" customWidth="1"/>
    <col min="6" max="10" width="9.1640625" style="10"/>
    <col min="11" max="12" width="9.33203125" style="10" customWidth="1"/>
    <col min="13" max="13" width="10.83203125" style="10" customWidth="1"/>
    <col min="14" max="16384" width="9.1640625" style="10"/>
  </cols>
  <sheetData>
    <row r="1" spans="1:19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83</v>
      </c>
      <c r="I1" s="11" t="s">
        <v>85</v>
      </c>
      <c r="J1" s="11" t="s">
        <v>110</v>
      </c>
      <c r="K1" s="11" t="s">
        <v>84</v>
      </c>
      <c r="L1" s="11" t="s">
        <v>111</v>
      </c>
      <c r="M1" s="10" t="s">
        <v>86</v>
      </c>
      <c r="N1" s="10" t="s">
        <v>87</v>
      </c>
      <c r="O1" s="10" t="s">
        <v>88</v>
      </c>
      <c r="P1" s="10" t="s">
        <v>89</v>
      </c>
      <c r="Q1" s="10" t="s">
        <v>90</v>
      </c>
      <c r="R1" s="10" t="s">
        <v>91</v>
      </c>
      <c r="S1" s="10" t="s">
        <v>92</v>
      </c>
    </row>
    <row r="2" spans="1:19" x14ac:dyDescent="0.2">
      <c r="A2" s="10" t="s">
        <v>93</v>
      </c>
      <c r="B2" s="10">
        <v>2022</v>
      </c>
      <c r="C2" s="11">
        <v>0.68</v>
      </c>
      <c r="D2" s="11">
        <v>0.44</v>
      </c>
      <c r="E2" s="11">
        <v>1.04</v>
      </c>
      <c r="F2" s="10" t="s">
        <v>20</v>
      </c>
      <c r="G2" s="10" t="s">
        <v>21</v>
      </c>
      <c r="H2" s="10" t="s">
        <v>97</v>
      </c>
      <c r="I2" s="10">
        <v>38</v>
      </c>
      <c r="J2" s="10">
        <v>171</v>
      </c>
      <c r="K2" s="10">
        <v>51</v>
      </c>
      <c r="L2" s="10">
        <v>187</v>
      </c>
      <c r="M2" s="19">
        <v>35420921</v>
      </c>
    </row>
    <row r="3" spans="1:19" x14ac:dyDescent="0.2">
      <c r="A3" s="10" t="s">
        <v>95</v>
      </c>
      <c r="B3" s="10">
        <v>2018</v>
      </c>
      <c r="C3" s="10">
        <v>0.66</v>
      </c>
      <c r="D3" s="10">
        <v>0.42</v>
      </c>
      <c r="E3" s="10">
        <v>1.03</v>
      </c>
      <c r="F3" s="10" t="s">
        <v>20</v>
      </c>
      <c r="G3" s="10" t="s">
        <v>21</v>
      </c>
      <c r="H3" s="10" t="s">
        <v>97</v>
      </c>
      <c r="I3" s="10" t="s">
        <v>97</v>
      </c>
      <c r="J3" s="10">
        <v>117</v>
      </c>
      <c r="K3" s="10" t="s">
        <v>97</v>
      </c>
      <c r="L3" s="10">
        <v>104</v>
      </c>
      <c r="M3" s="10">
        <v>29384722</v>
      </c>
    </row>
    <row r="4" spans="1:19" s="21" customFormat="1" x14ac:dyDescent="0.2">
      <c r="A4" s="21" t="s">
        <v>96</v>
      </c>
      <c r="B4" s="21">
        <v>2023</v>
      </c>
      <c r="C4" s="22">
        <v>0.6</v>
      </c>
      <c r="D4" s="22">
        <v>0.39</v>
      </c>
      <c r="E4" s="22">
        <v>0.91</v>
      </c>
      <c r="F4" s="21" t="s">
        <v>20</v>
      </c>
      <c r="G4" s="21" t="s">
        <v>21</v>
      </c>
      <c r="H4" s="21" t="s">
        <v>97</v>
      </c>
      <c r="I4" s="21">
        <v>34</v>
      </c>
      <c r="J4" s="21">
        <v>152</v>
      </c>
      <c r="K4" s="21">
        <v>57</v>
      </c>
      <c r="L4" s="21">
        <v>164</v>
      </c>
      <c r="M4" s="21">
        <v>36990608</v>
      </c>
    </row>
    <row r="5" spans="1:19" x14ac:dyDescent="0.2">
      <c r="A5" s="10" t="s">
        <v>98</v>
      </c>
      <c r="B5" s="10">
        <v>2015</v>
      </c>
      <c r="C5" s="11">
        <v>0.69</v>
      </c>
      <c r="D5" s="11">
        <v>0.45</v>
      </c>
      <c r="E5" s="11">
        <v>1.05</v>
      </c>
      <c r="F5" s="10" t="s">
        <v>20</v>
      </c>
      <c r="G5" s="10" t="s">
        <v>21</v>
      </c>
      <c r="H5" s="10" t="s">
        <v>97</v>
      </c>
      <c r="I5" s="10" t="s">
        <v>97</v>
      </c>
      <c r="J5" s="10" t="s">
        <v>97</v>
      </c>
      <c r="K5" s="10" t="s">
        <v>97</v>
      </c>
      <c r="L5" s="10" t="s">
        <v>97</v>
      </c>
      <c r="M5" s="13">
        <v>26610858</v>
      </c>
    </row>
    <row r="6" spans="1:19" x14ac:dyDescent="0.2">
      <c r="A6" s="16" t="s">
        <v>99</v>
      </c>
      <c r="B6" s="10">
        <v>2019</v>
      </c>
      <c r="C6" s="16">
        <v>0.44</v>
      </c>
      <c r="D6" s="16">
        <v>0.15</v>
      </c>
      <c r="E6" s="16">
        <v>1.27</v>
      </c>
      <c r="F6" s="10" t="s">
        <v>20</v>
      </c>
      <c r="G6" s="10" t="s">
        <v>21</v>
      </c>
      <c r="H6" s="10" t="s">
        <v>97</v>
      </c>
      <c r="I6" s="10">
        <v>5</v>
      </c>
      <c r="J6" s="10">
        <v>13</v>
      </c>
      <c r="K6" s="10">
        <v>11</v>
      </c>
      <c r="L6" s="10">
        <v>16</v>
      </c>
      <c r="M6" s="10">
        <v>30987939</v>
      </c>
    </row>
    <row r="7" spans="1:19" x14ac:dyDescent="0.2">
      <c r="A7" s="10" t="s">
        <v>100</v>
      </c>
      <c r="B7" s="10">
        <v>2016</v>
      </c>
      <c r="C7" s="10">
        <v>0.67</v>
      </c>
      <c r="D7" s="10">
        <v>0.41</v>
      </c>
      <c r="E7" s="10">
        <v>1.07</v>
      </c>
      <c r="F7" s="10" t="s">
        <v>20</v>
      </c>
      <c r="G7" s="10" t="s">
        <v>21</v>
      </c>
      <c r="H7" s="10" t="s">
        <v>97</v>
      </c>
      <c r="I7" s="10">
        <v>22</v>
      </c>
      <c r="J7" s="10">
        <v>110</v>
      </c>
      <c r="K7" s="10">
        <v>76</v>
      </c>
      <c r="L7" s="10">
        <v>282</v>
      </c>
      <c r="M7" s="14">
        <v>26719232</v>
      </c>
    </row>
    <row r="8" spans="1:19" x14ac:dyDescent="0.2">
      <c r="A8" s="10" t="s">
        <v>101</v>
      </c>
      <c r="B8" s="10">
        <v>2017</v>
      </c>
      <c r="C8" s="16">
        <v>0.76</v>
      </c>
      <c r="D8" s="16">
        <v>0.48</v>
      </c>
      <c r="E8" s="16">
        <v>1.23</v>
      </c>
      <c r="F8" s="10" t="s">
        <v>20</v>
      </c>
      <c r="G8" s="10" t="s">
        <v>21</v>
      </c>
      <c r="H8" s="10" t="s">
        <v>97</v>
      </c>
      <c r="I8" s="10">
        <v>33</v>
      </c>
      <c r="J8" s="10">
        <v>221</v>
      </c>
      <c r="K8" s="10">
        <v>40</v>
      </c>
      <c r="L8" s="10">
        <v>223</v>
      </c>
      <c r="M8" s="15">
        <v>28578639</v>
      </c>
    </row>
    <row r="9" spans="1:19" x14ac:dyDescent="0.2">
      <c r="A9" s="10" t="s">
        <v>103</v>
      </c>
      <c r="B9" s="10">
        <v>2021</v>
      </c>
      <c r="C9" s="11">
        <v>0.67</v>
      </c>
      <c r="D9" s="11">
        <v>0.46</v>
      </c>
      <c r="E9" s="11">
        <v>0.98</v>
      </c>
      <c r="F9" s="10" t="s">
        <v>20</v>
      </c>
      <c r="G9" s="10" t="s">
        <v>21</v>
      </c>
      <c r="H9" s="10" t="s">
        <v>97</v>
      </c>
      <c r="I9" s="10">
        <v>21</v>
      </c>
      <c r="J9" s="10">
        <v>174</v>
      </c>
      <c r="K9" s="10">
        <v>63</v>
      </c>
      <c r="L9" s="10">
        <v>169</v>
      </c>
      <c r="M9" s="10" t="s">
        <v>144</v>
      </c>
    </row>
    <row r="13" spans="1:19" x14ac:dyDescent="0.2">
      <c r="A13" s="16"/>
      <c r="B13" s="16"/>
    </row>
    <row r="14" spans="1:19" x14ac:dyDescent="0.2">
      <c r="A14" s="16"/>
      <c r="B14" s="16"/>
    </row>
    <row r="18" spans="15:15" x14ac:dyDescent="0.2">
      <c r="O18" s="13"/>
    </row>
  </sheetData>
  <conditionalFormatting sqref="M4">
    <cfRule type="duplicateValues" dxfId="38" priority="1"/>
  </conditionalFormatting>
  <conditionalFormatting sqref="M7">
    <cfRule type="duplicateValues" dxfId="37" priority="3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S18"/>
  <sheetViews>
    <sheetView zoomScale="83" zoomScaleNormal="83" workbookViewId="0">
      <selection activeCell="I11" sqref="I11"/>
    </sheetView>
  </sheetViews>
  <sheetFormatPr baseColWidth="10" defaultColWidth="9.1640625" defaultRowHeight="13" x14ac:dyDescent="0.2"/>
  <cols>
    <col min="1" max="16384" width="9.1640625" style="10"/>
  </cols>
  <sheetData>
    <row r="1" spans="1:19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83</v>
      </c>
      <c r="I1" s="11" t="s">
        <v>85</v>
      </c>
      <c r="J1" s="11" t="s">
        <v>110</v>
      </c>
      <c r="K1" s="11" t="s">
        <v>84</v>
      </c>
      <c r="L1" s="11" t="s">
        <v>111</v>
      </c>
      <c r="M1" s="10" t="s">
        <v>86</v>
      </c>
      <c r="N1" s="10" t="s">
        <v>87</v>
      </c>
      <c r="O1" s="10" t="s">
        <v>88</v>
      </c>
      <c r="P1" s="10" t="s">
        <v>89</v>
      </c>
      <c r="Q1" s="10" t="s">
        <v>90</v>
      </c>
      <c r="R1" s="10" t="s">
        <v>91</v>
      </c>
      <c r="S1" s="10" t="s">
        <v>92</v>
      </c>
    </row>
    <row r="2" spans="1:19" x14ac:dyDescent="0.2">
      <c r="A2" s="10" t="s">
        <v>93</v>
      </c>
      <c r="B2" s="10">
        <v>2019</v>
      </c>
      <c r="C2" s="11">
        <v>0.38</v>
      </c>
      <c r="D2" s="11">
        <v>0.28999999999999998</v>
      </c>
      <c r="E2" s="11">
        <v>0.51</v>
      </c>
      <c r="F2" s="10" t="s">
        <v>20</v>
      </c>
      <c r="G2" s="10" t="s">
        <v>21</v>
      </c>
      <c r="H2" s="10" t="s">
        <v>97</v>
      </c>
      <c r="I2" s="10">
        <v>67</v>
      </c>
      <c r="J2" s="10">
        <v>448</v>
      </c>
      <c r="K2" s="10">
        <v>146</v>
      </c>
      <c r="L2" s="10">
        <v>443</v>
      </c>
      <c r="M2" s="12" t="s">
        <v>94</v>
      </c>
    </row>
    <row r="3" spans="1:19" s="21" customFormat="1" x14ac:dyDescent="0.2">
      <c r="A3" s="21" t="s">
        <v>96</v>
      </c>
      <c r="B3" s="21">
        <v>2023</v>
      </c>
      <c r="C3" s="22">
        <v>0.44</v>
      </c>
      <c r="D3" s="22">
        <v>0.37</v>
      </c>
      <c r="E3" s="22">
        <v>0.53</v>
      </c>
      <c r="F3" s="21" t="s">
        <v>20</v>
      </c>
      <c r="G3" s="21" t="s">
        <v>21</v>
      </c>
      <c r="H3" s="21" t="s">
        <v>97</v>
      </c>
      <c r="I3" s="21">
        <v>178</v>
      </c>
      <c r="J3" s="21">
        <v>405</v>
      </c>
      <c r="K3" s="21">
        <v>285</v>
      </c>
      <c r="L3" s="21">
        <v>405</v>
      </c>
      <c r="M3" s="21">
        <v>36990608</v>
      </c>
    </row>
    <row r="4" spans="1:19" x14ac:dyDescent="0.2">
      <c r="A4" s="10" t="s">
        <v>99</v>
      </c>
      <c r="B4" s="10">
        <v>2017</v>
      </c>
      <c r="C4" s="16">
        <v>0.4</v>
      </c>
      <c r="D4" s="16">
        <v>0.32</v>
      </c>
      <c r="E4" s="16">
        <v>0.5</v>
      </c>
      <c r="F4" s="10" t="s">
        <v>20</v>
      </c>
      <c r="G4" s="10" t="s">
        <v>21</v>
      </c>
      <c r="H4" s="10">
        <v>18.100000000000001</v>
      </c>
      <c r="I4" s="10" t="s">
        <v>97</v>
      </c>
      <c r="J4" s="10" t="s">
        <v>97</v>
      </c>
      <c r="K4" s="10" t="s">
        <v>97</v>
      </c>
      <c r="L4" s="10" t="s">
        <v>97</v>
      </c>
      <c r="M4" s="13">
        <v>28578607</v>
      </c>
    </row>
    <row r="5" spans="1:19" x14ac:dyDescent="0.2">
      <c r="A5" s="10" t="s">
        <v>103</v>
      </c>
      <c r="B5" s="10">
        <v>2019</v>
      </c>
      <c r="C5" s="11">
        <v>0.52</v>
      </c>
      <c r="D5" s="11">
        <v>0.39</v>
      </c>
      <c r="E5" s="11">
        <v>0.68</v>
      </c>
      <c r="F5" s="10" t="s">
        <v>20</v>
      </c>
      <c r="G5" s="10" t="s">
        <v>21</v>
      </c>
      <c r="H5" s="10">
        <v>30.5</v>
      </c>
      <c r="I5" s="10">
        <v>79</v>
      </c>
      <c r="J5" s="10">
        <v>328</v>
      </c>
      <c r="K5" s="10">
        <v>142</v>
      </c>
      <c r="L5" s="10">
        <v>348</v>
      </c>
      <c r="M5" s="10">
        <v>31150574</v>
      </c>
    </row>
    <row r="9" spans="1:19" x14ac:dyDescent="0.2">
      <c r="B9" s="16"/>
      <c r="O9" s="15"/>
    </row>
    <row r="13" spans="1:19" x14ac:dyDescent="0.2">
      <c r="O13" s="12"/>
    </row>
    <row r="15" spans="1:19" x14ac:dyDescent="0.2">
      <c r="O15" s="15"/>
    </row>
    <row r="18" spans="15:15" x14ac:dyDescent="0.2">
      <c r="O18" s="13"/>
    </row>
  </sheetData>
  <conditionalFormatting sqref="M3">
    <cfRule type="duplicateValues" dxfId="36" priority="1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S18"/>
  <sheetViews>
    <sheetView zoomScale="83" zoomScaleNormal="83" workbookViewId="0">
      <selection activeCell="I15" sqref="I15"/>
    </sheetView>
  </sheetViews>
  <sheetFormatPr baseColWidth="10" defaultColWidth="9.1640625" defaultRowHeight="13" x14ac:dyDescent="0.2"/>
  <cols>
    <col min="1" max="16384" width="9.1640625" style="10"/>
  </cols>
  <sheetData>
    <row r="1" spans="1:19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83</v>
      </c>
      <c r="I1" s="11" t="s">
        <v>85</v>
      </c>
      <c r="J1" s="11" t="s">
        <v>110</v>
      </c>
      <c r="K1" s="11" t="s">
        <v>84</v>
      </c>
      <c r="L1" s="11" t="s">
        <v>111</v>
      </c>
      <c r="M1" s="10" t="s">
        <v>86</v>
      </c>
      <c r="N1" s="10" t="s">
        <v>87</v>
      </c>
      <c r="O1" s="10" t="s">
        <v>88</v>
      </c>
      <c r="P1" s="10" t="s">
        <v>89</v>
      </c>
      <c r="Q1" s="10" t="s">
        <v>90</v>
      </c>
      <c r="R1" s="10" t="s">
        <v>91</v>
      </c>
      <c r="S1" s="10" t="s">
        <v>92</v>
      </c>
    </row>
    <row r="2" spans="1:19" x14ac:dyDescent="0.2">
      <c r="A2" s="10" t="s">
        <v>93</v>
      </c>
      <c r="B2" s="10">
        <v>2019</v>
      </c>
      <c r="C2" s="10">
        <v>0.43</v>
      </c>
      <c r="D2" s="10">
        <v>0.27</v>
      </c>
      <c r="E2" s="10">
        <v>0.7</v>
      </c>
      <c r="F2" s="10" t="s">
        <v>20</v>
      </c>
      <c r="G2" s="10" t="s">
        <v>21</v>
      </c>
      <c r="H2" s="10" t="s">
        <v>97</v>
      </c>
      <c r="I2" s="10">
        <v>24</v>
      </c>
      <c r="J2" s="10">
        <v>125</v>
      </c>
      <c r="K2" s="10">
        <v>55</v>
      </c>
      <c r="L2" s="10">
        <v>133</v>
      </c>
      <c r="M2" s="12" t="s">
        <v>94</v>
      </c>
    </row>
    <row r="3" spans="1:19" s="21" customFormat="1" x14ac:dyDescent="0.2">
      <c r="A3" s="21" t="s">
        <v>96</v>
      </c>
      <c r="B3" s="21">
        <v>2023</v>
      </c>
      <c r="C3" s="21">
        <v>0.46</v>
      </c>
      <c r="D3" s="21">
        <v>0.35</v>
      </c>
      <c r="E3" s="22">
        <v>0.6</v>
      </c>
      <c r="F3" s="21" t="s">
        <v>20</v>
      </c>
      <c r="G3" s="21" t="s">
        <v>21</v>
      </c>
      <c r="H3" s="21" t="s">
        <v>97</v>
      </c>
      <c r="I3" s="21">
        <v>90</v>
      </c>
      <c r="J3" s="21">
        <v>158</v>
      </c>
      <c r="K3" s="21">
        <v>128</v>
      </c>
      <c r="L3" s="21">
        <v>158</v>
      </c>
      <c r="M3" s="21">
        <v>36990608</v>
      </c>
    </row>
    <row r="4" spans="1:19" x14ac:dyDescent="0.2">
      <c r="A4" s="10" t="s">
        <v>99</v>
      </c>
      <c r="B4" s="10">
        <v>2017</v>
      </c>
      <c r="C4" s="10">
        <v>0.55000000000000004</v>
      </c>
      <c r="D4" s="10">
        <v>0.44</v>
      </c>
      <c r="E4" s="10">
        <v>0.7</v>
      </c>
      <c r="F4" s="10" t="s">
        <v>20</v>
      </c>
      <c r="G4" s="10" t="s">
        <v>21</v>
      </c>
      <c r="H4" s="10">
        <v>14.8</v>
      </c>
      <c r="I4" s="10" t="s">
        <v>97</v>
      </c>
      <c r="J4" s="10" t="s">
        <v>97</v>
      </c>
      <c r="K4" s="10" t="s">
        <v>97</v>
      </c>
      <c r="L4" s="10" t="s">
        <v>97</v>
      </c>
      <c r="M4" s="13">
        <v>28578607</v>
      </c>
    </row>
    <row r="5" spans="1:19" x14ac:dyDescent="0.2">
      <c r="A5" s="10" t="s">
        <v>103</v>
      </c>
      <c r="B5" s="10">
        <v>2019</v>
      </c>
      <c r="C5" s="10">
        <v>0.42</v>
      </c>
      <c r="D5" s="10">
        <v>0.3</v>
      </c>
      <c r="E5" s="10">
        <v>0.59</v>
      </c>
      <c r="F5" s="10" t="s">
        <v>20</v>
      </c>
      <c r="G5" s="10" t="s">
        <v>21</v>
      </c>
      <c r="H5" s="10">
        <v>15</v>
      </c>
      <c r="I5" s="10">
        <v>55</v>
      </c>
      <c r="J5" s="10">
        <v>197</v>
      </c>
      <c r="K5" s="10">
        <v>89</v>
      </c>
      <c r="L5" s="10">
        <v>178</v>
      </c>
      <c r="M5" s="10">
        <v>31150574</v>
      </c>
    </row>
    <row r="6" spans="1:19" x14ac:dyDescent="0.2">
      <c r="M6" s="13"/>
    </row>
    <row r="15" spans="1:19" x14ac:dyDescent="0.2">
      <c r="O15" s="15"/>
    </row>
    <row r="18" spans="15:15" x14ac:dyDescent="0.2">
      <c r="O18" s="13"/>
    </row>
  </sheetData>
  <conditionalFormatting sqref="M3">
    <cfRule type="duplicateValues" dxfId="35" priority="1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17"/>
  <sheetViews>
    <sheetView topLeftCell="C1" zoomScale="83" zoomScaleNormal="83" workbookViewId="0">
      <selection activeCell="I1" sqref="I1:L1"/>
    </sheetView>
  </sheetViews>
  <sheetFormatPr baseColWidth="10" defaultColWidth="9.1640625" defaultRowHeight="13" x14ac:dyDescent="0.2"/>
  <cols>
    <col min="1" max="1" width="18.6640625" style="10" customWidth="1"/>
    <col min="2" max="5" width="9.33203125" style="10" customWidth="1"/>
    <col min="6" max="10" width="9.1640625" style="10"/>
    <col min="11" max="12" width="9.33203125" style="10" customWidth="1"/>
    <col min="13" max="13" width="15.33203125" style="10" customWidth="1"/>
    <col min="14" max="16384" width="9.1640625" style="10"/>
  </cols>
  <sheetData>
    <row r="1" spans="1:20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83</v>
      </c>
      <c r="I1" s="11" t="s">
        <v>85</v>
      </c>
      <c r="J1" s="11" t="s">
        <v>110</v>
      </c>
      <c r="K1" s="11" t="s">
        <v>84</v>
      </c>
      <c r="L1" s="11" t="s">
        <v>111</v>
      </c>
      <c r="M1" s="10" t="s">
        <v>86</v>
      </c>
      <c r="N1" s="10" t="s">
        <v>87</v>
      </c>
      <c r="O1" s="10" t="s">
        <v>88</v>
      </c>
      <c r="P1" s="10" t="s">
        <v>89</v>
      </c>
      <c r="Q1" s="10" t="s">
        <v>90</v>
      </c>
      <c r="R1" s="10" t="s">
        <v>91</v>
      </c>
      <c r="S1" s="10" t="s">
        <v>92</v>
      </c>
    </row>
    <row r="2" spans="1:20" x14ac:dyDescent="0.2">
      <c r="A2" s="10" t="s">
        <v>93</v>
      </c>
      <c r="B2" s="10">
        <v>2022</v>
      </c>
      <c r="C2" s="11">
        <v>0.67</v>
      </c>
      <c r="D2" s="11">
        <v>0.52</v>
      </c>
      <c r="E2" s="11">
        <v>0.86</v>
      </c>
      <c r="F2" s="10" t="s">
        <v>20</v>
      </c>
      <c r="G2" s="10" t="s">
        <v>21</v>
      </c>
      <c r="H2" s="10" t="s">
        <v>97</v>
      </c>
      <c r="I2" s="10">
        <v>112</v>
      </c>
      <c r="J2" s="10">
        <v>448</v>
      </c>
      <c r="K2" s="10">
        <v>143</v>
      </c>
      <c r="L2" s="10">
        <v>443</v>
      </c>
      <c r="M2" s="19">
        <v>35420921</v>
      </c>
    </row>
    <row r="3" spans="1:20" x14ac:dyDescent="0.2">
      <c r="A3" s="10" t="s">
        <v>95</v>
      </c>
      <c r="B3" s="10">
        <v>2018</v>
      </c>
      <c r="C3" s="10">
        <v>0.75</v>
      </c>
      <c r="D3" s="10">
        <v>0.57999999999999996</v>
      </c>
      <c r="E3" s="10">
        <v>0.97</v>
      </c>
      <c r="F3" s="10" t="s">
        <v>20</v>
      </c>
      <c r="G3" s="10" t="s">
        <v>21</v>
      </c>
      <c r="H3" s="10" t="s">
        <v>97</v>
      </c>
      <c r="I3" s="10" t="s">
        <v>97</v>
      </c>
      <c r="J3" s="10">
        <v>277</v>
      </c>
      <c r="K3" s="10" t="s">
        <v>97</v>
      </c>
      <c r="L3" s="10">
        <v>272</v>
      </c>
      <c r="M3" s="10">
        <v>29384722</v>
      </c>
    </row>
    <row r="4" spans="1:20" s="21" customFormat="1" x14ac:dyDescent="0.2">
      <c r="A4" s="21" t="s">
        <v>96</v>
      </c>
      <c r="B4" s="21">
        <v>2023</v>
      </c>
      <c r="C4" s="22">
        <v>0.68</v>
      </c>
      <c r="D4" s="22">
        <v>0.54</v>
      </c>
      <c r="E4" s="22">
        <v>0.85</v>
      </c>
      <c r="F4" s="21" t="s">
        <v>20</v>
      </c>
      <c r="G4" s="21" t="s">
        <v>21</v>
      </c>
      <c r="H4" s="21" t="s">
        <v>97</v>
      </c>
      <c r="I4" s="21">
        <v>131</v>
      </c>
      <c r="J4" s="21">
        <v>405</v>
      </c>
      <c r="K4" s="21">
        <v>176</v>
      </c>
      <c r="L4" s="21">
        <v>405</v>
      </c>
      <c r="M4" s="21">
        <v>36990608</v>
      </c>
    </row>
    <row r="5" spans="1:20" x14ac:dyDescent="0.2">
      <c r="A5" s="10" t="s">
        <v>98</v>
      </c>
      <c r="B5" s="10">
        <v>2015</v>
      </c>
      <c r="C5" s="11">
        <v>0.87</v>
      </c>
      <c r="D5" s="11">
        <v>0.66</v>
      </c>
      <c r="E5" s="11">
        <v>1.1399999999999999</v>
      </c>
      <c r="F5" s="10" t="s">
        <v>20</v>
      </c>
      <c r="G5" s="10" t="s">
        <v>21</v>
      </c>
      <c r="H5" s="10" t="s">
        <v>97</v>
      </c>
      <c r="I5" s="10" t="s">
        <v>97</v>
      </c>
      <c r="J5" s="10" t="s">
        <v>97</v>
      </c>
      <c r="K5" s="10" t="s">
        <v>97</v>
      </c>
      <c r="L5" s="10" t="s">
        <v>97</v>
      </c>
      <c r="M5" s="13">
        <v>26610858</v>
      </c>
    </row>
    <row r="6" spans="1:20" x14ac:dyDescent="0.2">
      <c r="A6" s="10" t="s">
        <v>99</v>
      </c>
      <c r="B6" s="14">
        <v>2019</v>
      </c>
      <c r="C6" s="16">
        <v>0.64</v>
      </c>
      <c r="D6" s="16">
        <v>0.54</v>
      </c>
      <c r="E6" s="16">
        <v>0.75</v>
      </c>
      <c r="F6" s="10" t="s">
        <v>20</v>
      </c>
      <c r="G6" s="10" t="s">
        <v>21</v>
      </c>
      <c r="H6" s="10" t="s">
        <v>97</v>
      </c>
      <c r="I6" s="10">
        <v>257</v>
      </c>
      <c r="J6" s="10">
        <v>573</v>
      </c>
      <c r="K6" s="10">
        <v>333</v>
      </c>
      <c r="L6" s="10">
        <v>586</v>
      </c>
      <c r="M6" s="10">
        <v>30987939</v>
      </c>
      <c r="N6" s="10" t="s">
        <v>119</v>
      </c>
    </row>
    <row r="7" spans="1:20" x14ac:dyDescent="0.2">
      <c r="A7" s="10" t="s">
        <v>100</v>
      </c>
      <c r="B7" s="10">
        <v>2016</v>
      </c>
      <c r="C7" s="10">
        <v>0.77</v>
      </c>
      <c r="D7" s="10">
        <v>0.62</v>
      </c>
      <c r="E7" s="10">
        <v>0.96</v>
      </c>
      <c r="F7" s="10" t="s">
        <v>20</v>
      </c>
      <c r="G7" s="10" t="s">
        <v>21</v>
      </c>
      <c r="H7" s="10" t="s">
        <v>97</v>
      </c>
      <c r="I7" s="10">
        <v>119</v>
      </c>
      <c r="J7" s="10">
        <v>461</v>
      </c>
      <c r="K7" s="10">
        <v>283</v>
      </c>
      <c r="L7" s="10">
        <v>922</v>
      </c>
      <c r="M7" s="14">
        <v>26719232</v>
      </c>
    </row>
    <row r="8" spans="1:20" s="21" customFormat="1" x14ac:dyDescent="0.2">
      <c r="A8" s="21" t="s">
        <v>101</v>
      </c>
      <c r="B8" s="21">
        <v>2023</v>
      </c>
      <c r="C8" s="22">
        <v>0.63</v>
      </c>
      <c r="D8" s="22">
        <v>0.52</v>
      </c>
      <c r="E8" s="22">
        <v>0.75</v>
      </c>
      <c r="F8" s="21" t="s">
        <v>20</v>
      </c>
      <c r="G8" s="21" t="s">
        <v>21</v>
      </c>
      <c r="H8" s="21" t="s">
        <v>97</v>
      </c>
      <c r="I8" s="21">
        <v>211</v>
      </c>
      <c r="J8" s="21">
        <v>376</v>
      </c>
      <c r="K8" s="21">
        <v>265</v>
      </c>
      <c r="L8" s="21">
        <v>370</v>
      </c>
      <c r="M8" s="25">
        <v>28578639</v>
      </c>
      <c r="T8" s="23">
        <v>37142371</v>
      </c>
    </row>
    <row r="9" spans="1:20" x14ac:dyDescent="0.2">
      <c r="A9" s="10" t="s">
        <v>103</v>
      </c>
      <c r="B9" s="10">
        <v>2021</v>
      </c>
      <c r="C9" s="11">
        <v>0.68</v>
      </c>
      <c r="D9" s="11">
        <v>0.52</v>
      </c>
      <c r="E9" s="11">
        <v>0.89</v>
      </c>
      <c r="F9" s="10" t="s">
        <v>20</v>
      </c>
      <c r="G9" s="10" t="s">
        <v>21</v>
      </c>
      <c r="H9" s="10" t="s">
        <v>97</v>
      </c>
      <c r="I9" s="10">
        <v>94</v>
      </c>
      <c r="J9" s="10">
        <v>328</v>
      </c>
      <c r="K9" s="10">
        <v>134</v>
      </c>
      <c r="L9" s="10">
        <v>348</v>
      </c>
      <c r="M9" s="10" t="s">
        <v>144</v>
      </c>
    </row>
    <row r="11" spans="1:20" x14ac:dyDescent="0.2">
      <c r="B11" s="16"/>
    </row>
    <row r="17" spans="15:15" x14ac:dyDescent="0.2">
      <c r="O17" s="13"/>
    </row>
  </sheetData>
  <conditionalFormatting sqref="M4">
    <cfRule type="duplicateValues" dxfId="34" priority="1"/>
  </conditionalFormatting>
  <conditionalFormatting sqref="M7">
    <cfRule type="duplicateValues" dxfId="33" priority="3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T17"/>
  <sheetViews>
    <sheetView topLeftCell="D1" zoomScale="83" zoomScaleNormal="83" workbookViewId="0">
      <selection activeCell="I1" sqref="I1:L1"/>
    </sheetView>
  </sheetViews>
  <sheetFormatPr baseColWidth="10" defaultColWidth="9.1640625" defaultRowHeight="13" x14ac:dyDescent="0.2"/>
  <cols>
    <col min="1" max="12" width="9.1640625" style="10"/>
    <col min="13" max="15" width="14.1640625" style="10" customWidth="1"/>
    <col min="16" max="16384" width="9.1640625" style="10"/>
  </cols>
  <sheetData>
    <row r="1" spans="1:20" x14ac:dyDescent="0.2">
      <c r="A1" s="10" t="s">
        <v>78</v>
      </c>
      <c r="B1" s="10" t="s">
        <v>79</v>
      </c>
      <c r="C1" s="11" t="s">
        <v>80</v>
      </c>
      <c r="D1" s="11" t="s">
        <v>81</v>
      </c>
      <c r="E1" s="11" t="s">
        <v>82</v>
      </c>
      <c r="F1" s="10" t="s">
        <v>10</v>
      </c>
      <c r="G1" s="10" t="s">
        <v>11</v>
      </c>
      <c r="H1" s="11" t="s">
        <v>83</v>
      </c>
      <c r="I1" s="11" t="s">
        <v>85</v>
      </c>
      <c r="J1" s="11" t="s">
        <v>110</v>
      </c>
      <c r="K1" s="11" t="s">
        <v>84</v>
      </c>
      <c r="L1" s="11" t="s">
        <v>111</v>
      </c>
      <c r="M1" s="10" t="s">
        <v>86</v>
      </c>
      <c r="N1" s="10" t="s">
        <v>87</v>
      </c>
      <c r="O1" s="10" t="s">
        <v>88</v>
      </c>
      <c r="P1" s="10" t="s">
        <v>89</v>
      </c>
      <c r="Q1" s="10" t="s">
        <v>90</v>
      </c>
      <c r="R1" s="10" t="s">
        <v>91</v>
      </c>
      <c r="S1" s="10" t="s">
        <v>92</v>
      </c>
    </row>
    <row r="2" spans="1:20" x14ac:dyDescent="0.2">
      <c r="A2" s="10" t="s">
        <v>93</v>
      </c>
      <c r="B2" s="10">
        <v>2022</v>
      </c>
      <c r="C2" s="11">
        <v>0.65</v>
      </c>
      <c r="D2" s="11">
        <v>0.44</v>
      </c>
      <c r="E2" s="11">
        <v>0.97</v>
      </c>
      <c r="F2" s="10" t="s">
        <v>20</v>
      </c>
      <c r="G2" s="10" t="s">
        <v>21</v>
      </c>
      <c r="H2" s="10">
        <v>45.9</v>
      </c>
      <c r="I2" s="10">
        <v>42</v>
      </c>
      <c r="J2" s="10">
        <v>125</v>
      </c>
      <c r="K2" s="10">
        <v>59</v>
      </c>
      <c r="L2" s="10">
        <v>133</v>
      </c>
      <c r="M2" s="19">
        <v>35420921</v>
      </c>
    </row>
    <row r="3" spans="1:20" x14ac:dyDescent="0.2">
      <c r="A3" s="10" t="s">
        <v>95</v>
      </c>
      <c r="B3" s="10">
        <v>2018</v>
      </c>
      <c r="C3" s="10">
        <v>0.57999999999999996</v>
      </c>
      <c r="D3" s="10">
        <v>0.41</v>
      </c>
      <c r="E3" s="10">
        <v>0.83</v>
      </c>
      <c r="F3" s="10" t="s">
        <v>20</v>
      </c>
      <c r="G3" s="10" t="s">
        <v>21</v>
      </c>
      <c r="H3" s="10" t="s">
        <v>97</v>
      </c>
      <c r="I3" s="10" t="s">
        <v>97</v>
      </c>
      <c r="J3" s="10">
        <v>126</v>
      </c>
      <c r="K3" s="10" t="s">
        <v>97</v>
      </c>
      <c r="L3" s="10">
        <v>121</v>
      </c>
      <c r="M3" s="10">
        <v>29384722</v>
      </c>
    </row>
    <row r="4" spans="1:20" s="21" customFormat="1" x14ac:dyDescent="0.2">
      <c r="A4" s="21" t="s">
        <v>96</v>
      </c>
      <c r="B4" s="21">
        <v>2023</v>
      </c>
      <c r="C4" s="22">
        <v>0.72</v>
      </c>
      <c r="D4" s="22">
        <v>0.53</v>
      </c>
      <c r="E4" s="22">
        <v>0.97</v>
      </c>
      <c r="F4" s="21" t="s">
        <v>20</v>
      </c>
      <c r="G4" s="21" t="s">
        <v>21</v>
      </c>
      <c r="H4" s="21" t="s">
        <v>97</v>
      </c>
      <c r="I4" s="21">
        <v>77</v>
      </c>
      <c r="J4" s="21">
        <v>158</v>
      </c>
      <c r="K4" s="21">
        <v>92</v>
      </c>
      <c r="L4" s="21">
        <v>158</v>
      </c>
      <c r="M4" s="21">
        <v>36990608</v>
      </c>
    </row>
    <row r="5" spans="1:20" x14ac:dyDescent="0.2">
      <c r="A5" s="10" t="s">
        <v>98</v>
      </c>
      <c r="B5" s="10">
        <v>2015</v>
      </c>
      <c r="C5" s="11">
        <v>1.21</v>
      </c>
      <c r="D5" s="11">
        <v>0.11</v>
      </c>
      <c r="E5" s="11">
        <v>13</v>
      </c>
      <c r="F5" s="10" t="s">
        <v>20</v>
      </c>
      <c r="G5" s="10" t="s">
        <v>21</v>
      </c>
      <c r="H5" s="10" t="s">
        <v>97</v>
      </c>
      <c r="I5" s="10" t="s">
        <v>97</v>
      </c>
      <c r="J5" s="10" t="s">
        <v>97</v>
      </c>
      <c r="K5" s="10" t="s">
        <v>97</v>
      </c>
      <c r="L5" s="10" t="s">
        <v>97</v>
      </c>
      <c r="M5" s="13">
        <v>26610858</v>
      </c>
    </row>
    <row r="6" spans="1:20" x14ac:dyDescent="0.2">
      <c r="A6" s="10" t="s">
        <v>99</v>
      </c>
      <c r="B6" s="14">
        <v>2019</v>
      </c>
      <c r="C6" s="16">
        <v>1.42</v>
      </c>
      <c r="D6" s="16">
        <v>0.65</v>
      </c>
      <c r="E6" s="16">
        <v>3.08</v>
      </c>
      <c r="F6" s="10" t="s">
        <v>20</v>
      </c>
      <c r="G6" s="10" t="s">
        <v>21</v>
      </c>
      <c r="H6" s="10" t="s">
        <v>97</v>
      </c>
      <c r="I6" s="10">
        <v>18</v>
      </c>
      <c r="J6" s="10">
        <v>24</v>
      </c>
      <c r="K6" s="10">
        <v>10</v>
      </c>
      <c r="L6" s="10">
        <v>16</v>
      </c>
      <c r="M6" s="17">
        <v>30987939</v>
      </c>
    </row>
    <row r="7" spans="1:20" x14ac:dyDescent="0.2">
      <c r="A7" s="10" t="s">
        <v>100</v>
      </c>
      <c r="B7" s="10">
        <v>2016</v>
      </c>
      <c r="C7" s="10">
        <v>0.79</v>
      </c>
      <c r="D7" s="10">
        <v>0.56999999999999995</v>
      </c>
      <c r="E7" s="10">
        <v>1.0900000000000001</v>
      </c>
      <c r="F7" s="10" t="s">
        <v>20</v>
      </c>
      <c r="G7" s="10" t="s">
        <v>21</v>
      </c>
      <c r="H7" s="10" t="s">
        <v>97</v>
      </c>
      <c r="I7" s="10">
        <v>56</v>
      </c>
      <c r="J7" s="10">
        <v>131</v>
      </c>
      <c r="K7" s="10">
        <v>132</v>
      </c>
      <c r="L7" s="10">
        <v>262</v>
      </c>
      <c r="M7" s="14">
        <v>26719232</v>
      </c>
    </row>
    <row r="8" spans="1:20" s="21" customFormat="1" x14ac:dyDescent="0.2">
      <c r="A8" s="21" t="s">
        <v>101</v>
      </c>
      <c r="B8" s="21">
        <v>2023</v>
      </c>
      <c r="C8" s="22">
        <v>0.61</v>
      </c>
      <c r="D8" s="22">
        <v>0.45</v>
      </c>
      <c r="E8" s="22">
        <v>0.82</v>
      </c>
      <c r="F8" s="21" t="s">
        <v>20</v>
      </c>
      <c r="G8" s="21" t="s">
        <v>21</v>
      </c>
      <c r="H8" s="21" t="s">
        <v>97</v>
      </c>
      <c r="I8" s="21">
        <v>82</v>
      </c>
      <c r="J8" s="21">
        <v>125</v>
      </c>
      <c r="K8" s="21">
        <v>106</v>
      </c>
      <c r="L8" s="21">
        <v>132</v>
      </c>
      <c r="M8" s="25">
        <v>28578639</v>
      </c>
      <c r="T8" s="23">
        <v>37142371</v>
      </c>
    </row>
    <row r="9" spans="1:20" x14ac:dyDescent="0.2">
      <c r="A9" s="10" t="s">
        <v>103</v>
      </c>
      <c r="B9" s="10">
        <v>2019</v>
      </c>
      <c r="C9" s="11">
        <v>0.56000000000000005</v>
      </c>
      <c r="D9" s="11">
        <v>0.42</v>
      </c>
      <c r="E9" s="11">
        <v>0.76</v>
      </c>
      <c r="F9" s="10" t="s">
        <v>20</v>
      </c>
      <c r="G9" s="10" t="s">
        <v>21</v>
      </c>
      <c r="H9" s="10" t="s">
        <v>97</v>
      </c>
      <c r="I9" s="10">
        <v>76</v>
      </c>
      <c r="J9" s="10">
        <v>197</v>
      </c>
      <c r="K9" s="10">
        <v>101</v>
      </c>
      <c r="L9" s="10">
        <v>178</v>
      </c>
      <c r="M9" s="10" t="s">
        <v>144</v>
      </c>
    </row>
    <row r="12" spans="1:20" x14ac:dyDescent="0.2">
      <c r="B12" s="16"/>
    </row>
    <row r="17" spans="15:15" x14ac:dyDescent="0.2">
      <c r="O17" s="13"/>
    </row>
  </sheetData>
  <conditionalFormatting sqref="M4">
    <cfRule type="duplicateValues" dxfId="32" priority="1"/>
  </conditionalFormatting>
  <conditionalFormatting sqref="M7">
    <cfRule type="duplicateValues" dxfId="31" priority="3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5BEB9-50E6-4B44-BE66-6B1059621BC8}">
  <dimension ref="A1:N5"/>
  <sheetViews>
    <sheetView topLeftCell="D1" workbookViewId="0">
      <selection activeCell="J2" sqref="J2:M2"/>
    </sheetView>
  </sheetViews>
  <sheetFormatPr baseColWidth="10" defaultColWidth="11.5" defaultRowHeight="15" x14ac:dyDescent="0.2"/>
  <sheetData>
    <row r="1" spans="1:14" x14ac:dyDescent="0.2">
      <c r="A1" s="16" t="s">
        <v>78</v>
      </c>
      <c r="B1" s="10" t="s">
        <v>79</v>
      </c>
      <c r="C1" s="16" t="s">
        <v>80</v>
      </c>
      <c r="D1" s="16" t="s">
        <v>81</v>
      </c>
      <c r="E1" s="16" t="s">
        <v>82</v>
      </c>
      <c r="F1" s="10" t="s">
        <v>10</v>
      </c>
      <c r="G1" s="10" t="s">
        <v>11</v>
      </c>
      <c r="H1" s="10" t="s">
        <v>47</v>
      </c>
      <c r="I1" s="11" t="s">
        <v>83</v>
      </c>
      <c r="J1" s="11" t="s">
        <v>85</v>
      </c>
      <c r="K1" s="11" t="s">
        <v>110</v>
      </c>
      <c r="L1" s="11" t="s">
        <v>84</v>
      </c>
      <c r="M1" s="11" t="s">
        <v>111</v>
      </c>
      <c r="N1" s="10" t="s">
        <v>86</v>
      </c>
    </row>
    <row r="2" spans="1:14" x14ac:dyDescent="0.2">
      <c r="A2" s="10" t="s">
        <v>150</v>
      </c>
      <c r="B2" s="10">
        <v>2023</v>
      </c>
      <c r="C2" s="10">
        <v>0.64</v>
      </c>
      <c r="D2" s="10">
        <v>0.18</v>
      </c>
      <c r="E2" s="10">
        <v>2.2799999999999998</v>
      </c>
      <c r="F2" s="10" t="s">
        <v>148</v>
      </c>
      <c r="G2" s="10" t="s">
        <v>149</v>
      </c>
      <c r="H2" s="10" t="s">
        <v>177</v>
      </c>
      <c r="I2" s="10" t="s">
        <v>97</v>
      </c>
      <c r="J2" s="30">
        <v>4</v>
      </c>
      <c r="K2" s="30">
        <v>25</v>
      </c>
      <c r="L2" s="30">
        <v>6</v>
      </c>
      <c r="M2" s="30">
        <v>27</v>
      </c>
      <c r="N2" s="10">
        <v>36990608</v>
      </c>
    </row>
    <row r="3" spans="1:14" x14ac:dyDescent="0.2">
      <c r="A3" s="10" t="s">
        <v>151</v>
      </c>
      <c r="B3" s="10">
        <v>2022</v>
      </c>
      <c r="C3" s="10">
        <v>0.72</v>
      </c>
      <c r="D3" s="10">
        <v>0.55000000000000004</v>
      </c>
      <c r="E3" s="10">
        <v>0.95</v>
      </c>
      <c r="F3" s="10" t="s">
        <v>148</v>
      </c>
      <c r="G3" t="s">
        <v>149</v>
      </c>
      <c r="H3" s="10" t="s">
        <v>178</v>
      </c>
      <c r="I3" t="s">
        <v>97</v>
      </c>
      <c r="J3" s="10">
        <v>92</v>
      </c>
      <c r="K3" s="10">
        <v>224</v>
      </c>
      <c r="L3" s="13">
        <v>120</v>
      </c>
      <c r="M3" s="10">
        <v>232</v>
      </c>
      <c r="N3" s="26">
        <v>35405085</v>
      </c>
    </row>
    <row r="4" spans="1:14" x14ac:dyDescent="0.2">
      <c r="A4" s="10" t="s">
        <v>150</v>
      </c>
      <c r="B4" s="10">
        <v>2023</v>
      </c>
      <c r="C4" s="10">
        <v>0.79</v>
      </c>
      <c r="D4" s="10">
        <v>0.56999999999999995</v>
      </c>
      <c r="E4" s="10">
        <v>1.1000000000000001</v>
      </c>
      <c r="F4" s="10" t="s">
        <v>148</v>
      </c>
      <c r="G4" s="10" t="s">
        <v>149</v>
      </c>
      <c r="H4" s="10" t="s">
        <v>178</v>
      </c>
      <c r="I4" s="10" t="s">
        <v>97</v>
      </c>
      <c r="J4" s="30">
        <v>65</v>
      </c>
      <c r="K4" s="30">
        <v>133</v>
      </c>
      <c r="L4" s="10">
        <v>75</v>
      </c>
      <c r="M4" s="10">
        <v>137</v>
      </c>
      <c r="N4" s="10">
        <v>36990608</v>
      </c>
    </row>
    <row r="5" spans="1:14" x14ac:dyDescent="0.2">
      <c r="A5" s="27" t="s">
        <v>152</v>
      </c>
      <c r="B5" s="10">
        <v>2023</v>
      </c>
      <c r="C5" s="10">
        <v>0.69599999999999995</v>
      </c>
      <c r="D5" s="10">
        <v>0.57399999999999995</v>
      </c>
      <c r="E5" s="10">
        <v>0.84499999999999997</v>
      </c>
      <c r="F5" s="10" t="s">
        <v>148</v>
      </c>
      <c r="G5" s="10" t="s">
        <v>149</v>
      </c>
      <c r="H5" s="10" t="s">
        <v>178</v>
      </c>
      <c r="I5" s="10" t="s">
        <v>97</v>
      </c>
      <c r="J5" s="30">
        <v>181</v>
      </c>
      <c r="K5" s="30">
        <v>432</v>
      </c>
      <c r="L5" s="10">
        <v>239</v>
      </c>
      <c r="M5" s="10">
        <v>445</v>
      </c>
      <c r="N5" s="10">
        <v>36795843</v>
      </c>
    </row>
  </sheetData>
  <conditionalFormatting sqref="N2">
    <cfRule type="duplicateValues" dxfId="30" priority="4"/>
  </conditionalFormatting>
  <conditionalFormatting sqref="N3">
    <cfRule type="duplicateValues" dxfId="29" priority="1"/>
    <cfRule type="duplicateValues" dxfId="28" priority="2"/>
  </conditionalFormatting>
  <conditionalFormatting sqref="N4">
    <cfRule type="duplicateValues" dxfId="27" priority="3"/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CAC57-8346-3A40-8ED7-6C1D5D308E66}">
  <dimension ref="A1:N7"/>
  <sheetViews>
    <sheetView topLeftCell="C1" workbookViewId="0">
      <selection activeCell="K13" sqref="K13"/>
    </sheetView>
  </sheetViews>
  <sheetFormatPr baseColWidth="10" defaultColWidth="11.5" defaultRowHeight="15" x14ac:dyDescent="0.2"/>
  <sheetData>
    <row r="1" spans="1:14" x14ac:dyDescent="0.2">
      <c r="A1" s="16" t="s">
        <v>78</v>
      </c>
      <c r="B1" s="10" t="s">
        <v>79</v>
      </c>
      <c r="C1" s="16" t="s">
        <v>80</v>
      </c>
      <c r="D1" s="16" t="s">
        <v>81</v>
      </c>
      <c r="E1" s="16" t="s">
        <v>82</v>
      </c>
      <c r="F1" s="10" t="s">
        <v>10</v>
      </c>
      <c r="G1" s="10" t="s">
        <v>11</v>
      </c>
      <c r="H1" s="10" t="s">
        <v>47</v>
      </c>
      <c r="I1" s="11" t="s">
        <v>83</v>
      </c>
      <c r="J1" s="11" t="s">
        <v>85</v>
      </c>
      <c r="K1" s="11" t="s">
        <v>110</v>
      </c>
      <c r="L1" s="11" t="s">
        <v>84</v>
      </c>
      <c r="M1" s="11" t="s">
        <v>111</v>
      </c>
      <c r="N1" s="10" t="s">
        <v>86</v>
      </c>
    </row>
    <row r="2" spans="1:14" x14ac:dyDescent="0.2">
      <c r="A2" s="10" t="s">
        <v>151</v>
      </c>
      <c r="B2">
        <v>2022</v>
      </c>
      <c r="C2" s="10">
        <v>0.72</v>
      </c>
      <c r="D2" s="10">
        <v>0.55000000000000004</v>
      </c>
      <c r="E2" s="10">
        <v>0.95</v>
      </c>
      <c r="F2" s="10" t="s">
        <v>148</v>
      </c>
      <c r="G2" s="10" t="s">
        <v>149</v>
      </c>
      <c r="H2" t="s">
        <v>178</v>
      </c>
      <c r="I2" s="10" t="s">
        <v>97</v>
      </c>
      <c r="J2" s="10">
        <v>92</v>
      </c>
      <c r="K2" s="10">
        <v>224</v>
      </c>
      <c r="L2" s="13">
        <v>120</v>
      </c>
      <c r="M2" s="10">
        <v>232</v>
      </c>
      <c r="N2" s="26">
        <v>35405085</v>
      </c>
    </row>
    <row r="3" spans="1:14" x14ac:dyDescent="0.2">
      <c r="A3" s="21" t="s">
        <v>150</v>
      </c>
      <c r="B3">
        <v>2023</v>
      </c>
      <c r="C3" s="21">
        <v>0.79</v>
      </c>
      <c r="D3" s="21">
        <v>0.56999999999999995</v>
      </c>
      <c r="E3" s="21">
        <v>1.1000000000000001</v>
      </c>
      <c r="F3" s="10" t="s">
        <v>148</v>
      </c>
      <c r="G3" s="21" t="s">
        <v>149</v>
      </c>
      <c r="H3" t="s">
        <v>178</v>
      </c>
      <c r="I3" s="28" t="s">
        <v>97</v>
      </c>
      <c r="J3" s="21">
        <v>65</v>
      </c>
      <c r="K3" s="21">
        <v>133</v>
      </c>
      <c r="L3" s="21">
        <v>75</v>
      </c>
      <c r="M3" s="21">
        <v>137</v>
      </c>
      <c r="N3" s="21">
        <v>36990608</v>
      </c>
    </row>
    <row r="4" spans="1:14" x14ac:dyDescent="0.2">
      <c r="A4" s="28" t="s">
        <v>152</v>
      </c>
      <c r="B4">
        <v>2023</v>
      </c>
      <c r="C4" s="21">
        <v>0.69599999999999995</v>
      </c>
      <c r="D4" s="21">
        <v>0.57399999999999995</v>
      </c>
      <c r="E4" s="21">
        <v>0.84499999999999997</v>
      </c>
      <c r="F4" s="10" t="s">
        <v>148</v>
      </c>
      <c r="G4" s="28" t="s">
        <v>149</v>
      </c>
      <c r="H4" t="s">
        <v>178</v>
      </c>
      <c r="I4" s="28" t="s">
        <v>97</v>
      </c>
      <c r="J4" s="21">
        <v>181</v>
      </c>
      <c r="K4" s="21">
        <v>432</v>
      </c>
      <c r="L4" s="21">
        <v>239</v>
      </c>
      <c r="M4" s="21">
        <v>445</v>
      </c>
      <c r="N4" s="21">
        <v>36795843</v>
      </c>
    </row>
    <row r="5" spans="1:14" x14ac:dyDescent="0.2">
      <c r="A5" s="10" t="s">
        <v>151</v>
      </c>
      <c r="B5">
        <v>2022</v>
      </c>
      <c r="C5" s="10">
        <v>0.83</v>
      </c>
      <c r="D5" s="10">
        <v>0.5</v>
      </c>
      <c r="E5" s="10">
        <v>1.39</v>
      </c>
      <c r="F5" s="10" t="s">
        <v>148</v>
      </c>
      <c r="G5" s="10" t="s">
        <v>149</v>
      </c>
      <c r="H5" t="s">
        <v>179</v>
      </c>
      <c r="I5" s="10" t="s">
        <v>97</v>
      </c>
      <c r="J5" s="10">
        <v>29</v>
      </c>
      <c r="K5" s="10">
        <v>131</v>
      </c>
      <c r="L5" s="10">
        <v>31</v>
      </c>
      <c r="M5" s="10">
        <v>123</v>
      </c>
      <c r="N5" s="26">
        <v>35405085</v>
      </c>
    </row>
    <row r="6" spans="1:14" x14ac:dyDescent="0.2">
      <c r="A6" s="21" t="s">
        <v>150</v>
      </c>
      <c r="B6">
        <v>2023</v>
      </c>
      <c r="C6" s="21">
        <v>0.56999999999999995</v>
      </c>
      <c r="D6" s="21">
        <v>0.28999999999999998</v>
      </c>
      <c r="E6" s="21">
        <v>1.1200000000000001</v>
      </c>
      <c r="F6" s="10" t="s">
        <v>148</v>
      </c>
      <c r="G6" s="21" t="s">
        <v>149</v>
      </c>
      <c r="H6" t="s">
        <v>179</v>
      </c>
      <c r="I6" s="28" t="s">
        <v>97</v>
      </c>
      <c r="J6" s="31">
        <v>39</v>
      </c>
      <c r="K6" s="31">
        <v>95</v>
      </c>
      <c r="L6" s="21">
        <v>42</v>
      </c>
      <c r="M6" s="21">
        <v>86</v>
      </c>
      <c r="N6" s="21">
        <v>36990608</v>
      </c>
    </row>
    <row r="7" spans="1:14" x14ac:dyDescent="0.2">
      <c r="A7" s="28" t="s">
        <v>152</v>
      </c>
      <c r="B7">
        <v>2023</v>
      </c>
      <c r="C7" s="21">
        <v>0.755</v>
      </c>
      <c r="D7" s="21">
        <v>0.44700000000000001</v>
      </c>
      <c r="E7" s="21">
        <v>1.274</v>
      </c>
      <c r="F7" s="10" t="s">
        <v>148</v>
      </c>
      <c r="G7" s="28" t="s">
        <v>149</v>
      </c>
      <c r="H7" t="s">
        <v>179</v>
      </c>
      <c r="I7" s="28" t="s">
        <v>97</v>
      </c>
      <c r="J7" s="21">
        <v>25</v>
      </c>
      <c r="K7" s="21">
        <v>126</v>
      </c>
      <c r="L7" s="21">
        <v>32</v>
      </c>
      <c r="M7" s="21">
        <v>121</v>
      </c>
      <c r="N7" s="21">
        <v>36795843</v>
      </c>
    </row>
  </sheetData>
  <conditionalFormatting sqref="N2">
    <cfRule type="duplicateValues" dxfId="26" priority="4"/>
    <cfRule type="duplicateValues" dxfId="25" priority="5"/>
  </conditionalFormatting>
  <conditionalFormatting sqref="N3">
    <cfRule type="duplicateValues" dxfId="24" priority="6"/>
  </conditionalFormatting>
  <conditionalFormatting sqref="N5">
    <cfRule type="duplicateValues" dxfId="23" priority="1"/>
    <cfRule type="duplicateValues" dxfId="22" priority="2"/>
  </conditionalFormatting>
  <conditionalFormatting sqref="N6">
    <cfRule type="duplicateValues" dxfId="21" priority="3"/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EDD4-BD1D-E449-A89D-7CBCD254232B}">
  <dimension ref="A1:N7"/>
  <sheetViews>
    <sheetView topLeftCell="C1" workbookViewId="0">
      <selection activeCell="J18" sqref="J18"/>
    </sheetView>
  </sheetViews>
  <sheetFormatPr baseColWidth="10" defaultColWidth="11.5" defaultRowHeight="15" x14ac:dyDescent="0.2"/>
  <sheetData>
    <row r="1" spans="1:14" x14ac:dyDescent="0.2">
      <c r="A1" s="16" t="s">
        <v>78</v>
      </c>
      <c r="B1" s="10" t="s">
        <v>79</v>
      </c>
      <c r="C1" s="16" t="s">
        <v>80</v>
      </c>
      <c r="D1" s="16" t="s">
        <v>81</v>
      </c>
      <c r="E1" s="16" t="s">
        <v>82</v>
      </c>
      <c r="F1" s="10" t="s">
        <v>10</v>
      </c>
      <c r="G1" s="10" t="s">
        <v>11</v>
      </c>
      <c r="H1" s="10" t="s">
        <v>47</v>
      </c>
      <c r="I1" s="11" t="s">
        <v>83</v>
      </c>
      <c r="J1" s="11" t="s">
        <v>85</v>
      </c>
      <c r="K1" s="11" t="s">
        <v>110</v>
      </c>
      <c r="L1" s="11" t="s">
        <v>84</v>
      </c>
      <c r="M1" s="11" t="s">
        <v>111</v>
      </c>
      <c r="N1" s="10" t="s">
        <v>86</v>
      </c>
    </row>
    <row r="2" spans="1:14" x14ac:dyDescent="0.2">
      <c r="A2" s="10" t="s">
        <v>151</v>
      </c>
      <c r="B2">
        <v>2022</v>
      </c>
      <c r="C2" s="10">
        <v>0.72</v>
      </c>
      <c r="D2" s="10">
        <v>0.55000000000000004</v>
      </c>
      <c r="E2" s="10">
        <v>0.95</v>
      </c>
      <c r="F2" s="10" t="s">
        <v>148</v>
      </c>
      <c r="G2" s="10" t="s">
        <v>149</v>
      </c>
      <c r="H2" t="s">
        <v>178</v>
      </c>
      <c r="I2" s="10" t="s">
        <v>97</v>
      </c>
      <c r="J2" s="10">
        <v>92</v>
      </c>
      <c r="K2" s="10">
        <v>224</v>
      </c>
      <c r="L2" s="13">
        <v>120</v>
      </c>
      <c r="M2" s="10">
        <v>232</v>
      </c>
      <c r="N2" s="26">
        <v>35405085</v>
      </c>
    </row>
    <row r="3" spans="1:14" x14ac:dyDescent="0.2">
      <c r="A3" s="21" t="s">
        <v>150</v>
      </c>
      <c r="B3">
        <v>2023</v>
      </c>
      <c r="C3" s="21">
        <v>0.79</v>
      </c>
      <c r="D3" s="21">
        <v>0.56999999999999995</v>
      </c>
      <c r="E3" s="21">
        <v>1.1000000000000001</v>
      </c>
      <c r="F3" s="10" t="s">
        <v>148</v>
      </c>
      <c r="G3" s="21" t="s">
        <v>149</v>
      </c>
      <c r="H3" t="s">
        <v>178</v>
      </c>
      <c r="I3" s="28" t="s">
        <v>97</v>
      </c>
      <c r="J3" s="21">
        <v>65</v>
      </c>
      <c r="K3" s="21">
        <v>133</v>
      </c>
      <c r="L3" s="21">
        <v>75</v>
      </c>
      <c r="M3" s="21">
        <v>137</v>
      </c>
      <c r="N3" s="21">
        <v>36990608</v>
      </c>
    </row>
    <row r="4" spans="1:14" x14ac:dyDescent="0.2">
      <c r="A4" s="28" t="s">
        <v>152</v>
      </c>
      <c r="B4">
        <v>2023</v>
      </c>
      <c r="C4" s="21">
        <v>0.69599999999999995</v>
      </c>
      <c r="D4" s="21">
        <v>0.57399999999999995</v>
      </c>
      <c r="E4" s="21">
        <v>0.84499999999999997</v>
      </c>
      <c r="F4" s="10" t="s">
        <v>148</v>
      </c>
      <c r="G4" s="28" t="s">
        <v>149</v>
      </c>
      <c r="H4" t="s">
        <v>178</v>
      </c>
      <c r="I4" s="28" t="s">
        <v>97</v>
      </c>
      <c r="J4" s="21">
        <v>181</v>
      </c>
      <c r="K4" s="21">
        <v>432</v>
      </c>
      <c r="L4" s="21">
        <v>239</v>
      </c>
      <c r="M4" s="21">
        <v>445</v>
      </c>
      <c r="N4" s="21">
        <v>36795843</v>
      </c>
    </row>
    <row r="5" spans="1:14" x14ac:dyDescent="0.2">
      <c r="A5" s="21" t="s">
        <v>150</v>
      </c>
      <c r="B5">
        <v>2023</v>
      </c>
      <c r="C5" s="21">
        <v>1.18</v>
      </c>
      <c r="D5" s="21">
        <v>0.66</v>
      </c>
      <c r="E5" s="21">
        <v>2.11</v>
      </c>
      <c r="F5" s="10" t="s">
        <v>148</v>
      </c>
      <c r="G5" s="21" t="s">
        <v>149</v>
      </c>
      <c r="H5" t="s">
        <v>180</v>
      </c>
      <c r="I5" s="28" t="s">
        <v>97</v>
      </c>
      <c r="J5" s="31">
        <v>39</v>
      </c>
      <c r="K5" s="31">
        <v>95</v>
      </c>
      <c r="L5" s="21">
        <v>42</v>
      </c>
      <c r="M5" s="21">
        <v>86</v>
      </c>
      <c r="N5" s="21">
        <v>36990608</v>
      </c>
    </row>
    <row r="6" spans="1:14" x14ac:dyDescent="0.2">
      <c r="A6" s="28" t="s">
        <v>152</v>
      </c>
      <c r="B6">
        <v>2023</v>
      </c>
      <c r="C6" s="21">
        <v>0.69499999999999995</v>
      </c>
      <c r="D6" s="21">
        <v>0.39</v>
      </c>
      <c r="E6" s="21">
        <v>1.2410000000000001</v>
      </c>
      <c r="F6" s="10" t="s">
        <v>148</v>
      </c>
      <c r="G6" s="28" t="s">
        <v>149</v>
      </c>
      <c r="H6" t="s">
        <v>180</v>
      </c>
      <c r="I6" s="28" t="s">
        <v>97</v>
      </c>
      <c r="J6" s="21">
        <v>21</v>
      </c>
      <c r="K6" s="21">
        <v>58</v>
      </c>
      <c r="L6" s="21">
        <v>26</v>
      </c>
      <c r="M6" s="21">
        <v>59</v>
      </c>
      <c r="N6" s="21">
        <v>36795843</v>
      </c>
    </row>
    <row r="7" spans="1:14" x14ac:dyDescent="0.2">
      <c r="F7" s="10"/>
    </row>
  </sheetData>
  <conditionalFormatting sqref="N2">
    <cfRule type="duplicateValues" dxfId="20" priority="2"/>
    <cfRule type="duplicateValues" dxfId="19" priority="3"/>
  </conditionalFormatting>
  <conditionalFormatting sqref="N3">
    <cfRule type="duplicateValues" dxfId="18" priority="4"/>
  </conditionalFormatting>
  <conditionalFormatting sqref="N5">
    <cfRule type="duplicateValues" dxfId="17" priority="1"/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FFF3-E535-3E4E-88C3-770C6DE7699C}">
  <dimension ref="A1:N6"/>
  <sheetViews>
    <sheetView topLeftCell="C1" workbookViewId="0">
      <selection activeCell="J5" sqref="J5:K6"/>
    </sheetView>
  </sheetViews>
  <sheetFormatPr baseColWidth="10" defaultColWidth="11.5" defaultRowHeight="15" x14ac:dyDescent="0.2"/>
  <sheetData>
    <row r="1" spans="1:14" x14ac:dyDescent="0.2">
      <c r="A1" s="16" t="s">
        <v>78</v>
      </c>
      <c r="B1" s="10" t="s">
        <v>79</v>
      </c>
      <c r="C1" s="16" t="s">
        <v>80</v>
      </c>
      <c r="D1" s="16" t="s">
        <v>81</v>
      </c>
      <c r="E1" s="16" t="s">
        <v>82</v>
      </c>
      <c r="F1" s="10" t="s">
        <v>10</v>
      </c>
      <c r="G1" s="10" t="s">
        <v>11</v>
      </c>
      <c r="H1" s="10" t="s">
        <v>47</v>
      </c>
      <c r="I1" s="11" t="s">
        <v>83</v>
      </c>
      <c r="J1" s="11" t="s">
        <v>85</v>
      </c>
      <c r="K1" s="11" t="s">
        <v>110</v>
      </c>
      <c r="L1" s="11" t="s">
        <v>84</v>
      </c>
      <c r="M1" s="11" t="s">
        <v>111</v>
      </c>
      <c r="N1" s="10" t="s">
        <v>86</v>
      </c>
    </row>
    <row r="2" spans="1:14" x14ac:dyDescent="0.2">
      <c r="A2" s="10" t="s">
        <v>151</v>
      </c>
      <c r="B2">
        <v>2022</v>
      </c>
      <c r="C2" s="10">
        <v>0.83</v>
      </c>
      <c r="D2" s="10">
        <v>0.5</v>
      </c>
      <c r="E2" s="10">
        <v>1.39</v>
      </c>
      <c r="F2" s="10" t="s">
        <v>148</v>
      </c>
      <c r="G2" s="10" t="s">
        <v>149</v>
      </c>
      <c r="H2" t="s">
        <v>179</v>
      </c>
      <c r="I2" s="10" t="s">
        <v>97</v>
      </c>
      <c r="J2" s="10">
        <v>29</v>
      </c>
      <c r="K2" s="10">
        <v>131</v>
      </c>
      <c r="L2" s="10">
        <v>31</v>
      </c>
      <c r="M2" s="10">
        <v>123</v>
      </c>
      <c r="N2" s="26">
        <v>35405085</v>
      </c>
    </row>
    <row r="3" spans="1:14" x14ac:dyDescent="0.2">
      <c r="A3" s="21" t="s">
        <v>150</v>
      </c>
      <c r="B3">
        <v>2023</v>
      </c>
      <c r="C3" s="21">
        <v>0.56999999999999995</v>
      </c>
      <c r="D3" s="21">
        <v>0.28999999999999998</v>
      </c>
      <c r="E3" s="21">
        <v>1.1200000000000001</v>
      </c>
      <c r="F3" s="10" t="s">
        <v>148</v>
      </c>
      <c r="G3" s="21" t="s">
        <v>149</v>
      </c>
      <c r="H3" t="s">
        <v>179</v>
      </c>
      <c r="I3" s="28" t="s">
        <v>97</v>
      </c>
      <c r="J3" s="31">
        <v>39</v>
      </c>
      <c r="K3" s="31">
        <v>95</v>
      </c>
      <c r="L3" s="21">
        <v>42</v>
      </c>
      <c r="M3" s="21">
        <v>86</v>
      </c>
      <c r="N3" s="21">
        <v>36990608</v>
      </c>
    </row>
    <row r="4" spans="1:14" x14ac:dyDescent="0.2">
      <c r="A4" s="28" t="s">
        <v>152</v>
      </c>
      <c r="B4">
        <v>2023</v>
      </c>
      <c r="C4" s="21">
        <v>0.755</v>
      </c>
      <c r="D4" s="21">
        <v>0.44700000000000001</v>
      </c>
      <c r="E4" s="21">
        <v>1.274</v>
      </c>
      <c r="F4" s="10" t="s">
        <v>148</v>
      </c>
      <c r="G4" s="28" t="s">
        <v>149</v>
      </c>
      <c r="H4" t="s">
        <v>179</v>
      </c>
      <c r="I4" s="28" t="s">
        <v>97</v>
      </c>
      <c r="J4" s="21">
        <v>25</v>
      </c>
      <c r="K4" s="21">
        <v>126</v>
      </c>
      <c r="L4" s="21">
        <v>32</v>
      </c>
      <c r="M4" s="21">
        <v>121</v>
      </c>
      <c r="N4" s="21">
        <v>36795843</v>
      </c>
    </row>
    <row r="5" spans="1:14" x14ac:dyDescent="0.2">
      <c r="A5" s="21" t="s">
        <v>150</v>
      </c>
      <c r="B5">
        <v>2023</v>
      </c>
      <c r="C5" s="21">
        <v>1.18</v>
      </c>
      <c r="D5" s="21">
        <v>0.66</v>
      </c>
      <c r="E5" s="21">
        <v>2.11</v>
      </c>
      <c r="F5" s="10" t="s">
        <v>148</v>
      </c>
      <c r="G5" s="21" t="s">
        <v>149</v>
      </c>
      <c r="H5" t="s">
        <v>180</v>
      </c>
      <c r="I5" s="28" t="s">
        <v>97</v>
      </c>
      <c r="J5" s="31">
        <v>39</v>
      </c>
      <c r="K5" s="31">
        <v>95</v>
      </c>
      <c r="L5" s="21">
        <v>42</v>
      </c>
      <c r="M5" s="21">
        <v>86</v>
      </c>
      <c r="N5" s="21">
        <v>36990608</v>
      </c>
    </row>
    <row r="6" spans="1:14" x14ac:dyDescent="0.2">
      <c r="A6" s="28" t="s">
        <v>152</v>
      </c>
      <c r="B6">
        <v>2023</v>
      </c>
      <c r="C6" s="21">
        <v>0.69499999999999995</v>
      </c>
      <c r="D6" s="21">
        <v>0.39</v>
      </c>
      <c r="E6" s="21">
        <v>1.2410000000000001</v>
      </c>
      <c r="F6" s="10" t="s">
        <v>148</v>
      </c>
      <c r="G6" s="28" t="s">
        <v>149</v>
      </c>
      <c r="H6" t="s">
        <v>180</v>
      </c>
      <c r="I6" s="28" t="s">
        <v>97</v>
      </c>
      <c r="J6" s="21">
        <v>21</v>
      </c>
      <c r="K6" s="21">
        <v>58</v>
      </c>
      <c r="L6" s="21">
        <v>26</v>
      </c>
      <c r="M6" s="21">
        <v>59</v>
      </c>
      <c r="N6" s="21">
        <v>36795843</v>
      </c>
    </row>
  </sheetData>
  <conditionalFormatting sqref="N2">
    <cfRule type="duplicateValues" dxfId="16" priority="1"/>
    <cfRule type="duplicateValues" dxfId="15" priority="2"/>
  </conditionalFormatting>
  <conditionalFormatting sqref="N3">
    <cfRule type="duplicateValues" dxfId="14" priority="3"/>
  </conditionalFormatting>
  <conditionalFormatting sqref="N5">
    <cfRule type="duplicateValues" dxfId="13" priority="4"/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3FA41-D920-CC4C-8765-1D712C1D66AC}">
  <dimension ref="A1:N5"/>
  <sheetViews>
    <sheetView topLeftCell="C1" workbookViewId="0">
      <selection activeCell="J26" sqref="J26"/>
    </sheetView>
  </sheetViews>
  <sheetFormatPr baseColWidth="10" defaultColWidth="11.5" defaultRowHeight="15" x14ac:dyDescent="0.2"/>
  <sheetData>
    <row r="1" spans="1:14" x14ac:dyDescent="0.2">
      <c r="A1" s="16" t="s">
        <v>78</v>
      </c>
      <c r="B1" s="10" t="s">
        <v>79</v>
      </c>
      <c r="C1" s="16" t="s">
        <v>80</v>
      </c>
      <c r="D1" s="16" t="s">
        <v>81</v>
      </c>
      <c r="E1" s="16" t="s">
        <v>82</v>
      </c>
      <c r="F1" s="10" t="s">
        <v>10</v>
      </c>
      <c r="G1" s="10" t="s">
        <v>11</v>
      </c>
      <c r="H1" s="10" t="s">
        <v>47</v>
      </c>
      <c r="I1" s="11" t="s">
        <v>83</v>
      </c>
      <c r="J1" s="11" t="s">
        <v>85</v>
      </c>
      <c r="K1" s="11" t="s">
        <v>110</v>
      </c>
      <c r="L1" s="11" t="s">
        <v>84</v>
      </c>
      <c r="M1" s="11" t="s">
        <v>111</v>
      </c>
      <c r="N1" s="10" t="s">
        <v>86</v>
      </c>
    </row>
    <row r="2" spans="1:14" x14ac:dyDescent="0.2">
      <c r="A2" s="10" t="s">
        <v>151</v>
      </c>
      <c r="B2">
        <v>2022</v>
      </c>
      <c r="C2" s="10">
        <v>0.83</v>
      </c>
      <c r="D2" s="10">
        <v>0.5</v>
      </c>
      <c r="E2" s="10">
        <v>1.39</v>
      </c>
      <c r="F2" s="10" t="s">
        <v>148</v>
      </c>
      <c r="G2" s="10" t="s">
        <v>149</v>
      </c>
      <c r="H2" t="s">
        <v>179</v>
      </c>
      <c r="I2" s="10" t="s">
        <v>97</v>
      </c>
      <c r="J2" s="10">
        <v>29</v>
      </c>
      <c r="K2" s="10">
        <v>131</v>
      </c>
      <c r="L2" s="10">
        <v>31</v>
      </c>
      <c r="M2" s="10">
        <v>123</v>
      </c>
      <c r="N2" s="26">
        <v>35405085</v>
      </c>
    </row>
    <row r="3" spans="1:14" x14ac:dyDescent="0.2">
      <c r="A3" s="21" t="s">
        <v>150</v>
      </c>
      <c r="B3">
        <v>2023</v>
      </c>
      <c r="C3" s="21">
        <v>0.56999999999999995</v>
      </c>
      <c r="D3" s="21">
        <v>0.28999999999999998</v>
      </c>
      <c r="E3" s="21">
        <v>1.1200000000000001</v>
      </c>
      <c r="F3" s="10" t="s">
        <v>148</v>
      </c>
      <c r="G3" s="21" t="s">
        <v>149</v>
      </c>
      <c r="H3" t="s">
        <v>179</v>
      </c>
      <c r="I3" s="28" t="s">
        <v>97</v>
      </c>
      <c r="J3" s="31">
        <v>39</v>
      </c>
      <c r="K3" s="31">
        <v>95</v>
      </c>
      <c r="L3" s="21">
        <v>42</v>
      </c>
      <c r="M3" s="21">
        <v>86</v>
      </c>
      <c r="N3" s="21">
        <v>36990608</v>
      </c>
    </row>
    <row r="4" spans="1:14" x14ac:dyDescent="0.2">
      <c r="A4" s="28" t="s">
        <v>152</v>
      </c>
      <c r="B4">
        <v>2023</v>
      </c>
      <c r="C4" s="21">
        <v>0.755</v>
      </c>
      <c r="D4" s="21">
        <v>0.44700000000000001</v>
      </c>
      <c r="E4" s="21">
        <v>1.274</v>
      </c>
      <c r="F4" s="10" t="s">
        <v>148</v>
      </c>
      <c r="G4" s="28" t="s">
        <v>149</v>
      </c>
      <c r="H4" t="s">
        <v>179</v>
      </c>
      <c r="I4" s="28" t="s">
        <v>97</v>
      </c>
      <c r="J4" s="21">
        <v>25</v>
      </c>
      <c r="K4" s="21">
        <v>126</v>
      </c>
      <c r="L4" s="21">
        <v>32</v>
      </c>
      <c r="M4" s="21">
        <v>121</v>
      </c>
      <c r="N4" s="21">
        <v>36795843</v>
      </c>
    </row>
    <row r="5" spans="1:14" x14ac:dyDescent="0.2">
      <c r="A5" s="10" t="s">
        <v>150</v>
      </c>
      <c r="B5" s="10">
        <v>2023</v>
      </c>
      <c r="C5" s="10">
        <v>0.64</v>
      </c>
      <c r="D5" s="10">
        <v>0.18</v>
      </c>
      <c r="E5" s="10">
        <v>2.2799999999999998</v>
      </c>
      <c r="F5" s="10" t="s">
        <v>148</v>
      </c>
      <c r="G5" s="10" t="s">
        <v>149</v>
      </c>
      <c r="H5" s="10" t="s">
        <v>177</v>
      </c>
      <c r="I5" s="10" t="s">
        <v>97</v>
      </c>
      <c r="J5" s="30">
        <v>4</v>
      </c>
      <c r="K5" s="30">
        <v>25</v>
      </c>
      <c r="L5" s="10">
        <v>6</v>
      </c>
      <c r="M5" s="10">
        <v>27</v>
      </c>
      <c r="N5" s="10">
        <v>36990608</v>
      </c>
    </row>
  </sheetData>
  <conditionalFormatting sqref="N2">
    <cfRule type="duplicateValues" dxfId="12" priority="2"/>
    <cfRule type="duplicateValues" dxfId="11" priority="3"/>
  </conditionalFormatting>
  <conditionalFormatting sqref="N3">
    <cfRule type="duplicateValues" dxfId="10" priority="4"/>
  </conditionalFormatting>
  <conditionalFormatting sqref="N5">
    <cfRule type="duplicateValues" dxfId="9" priority="1"/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E759A-DA05-0640-8B2A-3290F4869C77}">
  <dimension ref="A1:N4"/>
  <sheetViews>
    <sheetView topLeftCell="C1" workbookViewId="0">
      <selection activeCell="I15" sqref="I15"/>
    </sheetView>
  </sheetViews>
  <sheetFormatPr baseColWidth="10" defaultColWidth="11.5" defaultRowHeight="15" x14ac:dyDescent="0.2"/>
  <sheetData>
    <row r="1" spans="1:14" x14ac:dyDescent="0.2">
      <c r="A1" s="16" t="s">
        <v>78</v>
      </c>
      <c r="B1" s="10" t="s">
        <v>79</v>
      </c>
      <c r="C1" s="16" t="s">
        <v>80</v>
      </c>
      <c r="D1" s="16" t="s">
        <v>81</v>
      </c>
      <c r="E1" s="16" t="s">
        <v>82</v>
      </c>
      <c r="F1" s="10" t="s">
        <v>10</v>
      </c>
      <c r="G1" s="10" t="s">
        <v>11</v>
      </c>
      <c r="H1" s="10" t="s">
        <v>47</v>
      </c>
      <c r="I1" s="11" t="s">
        <v>83</v>
      </c>
      <c r="J1" s="11" t="s">
        <v>85</v>
      </c>
      <c r="K1" s="11" t="s">
        <v>110</v>
      </c>
      <c r="L1" s="11" t="s">
        <v>84</v>
      </c>
      <c r="M1" s="11" t="s">
        <v>111</v>
      </c>
      <c r="N1" s="10" t="s">
        <v>86</v>
      </c>
    </row>
    <row r="2" spans="1:14" x14ac:dyDescent="0.2">
      <c r="A2" s="21" t="s">
        <v>150</v>
      </c>
      <c r="B2">
        <v>2023</v>
      </c>
      <c r="C2" s="21">
        <v>1.18</v>
      </c>
      <c r="D2" s="21">
        <v>0.66</v>
      </c>
      <c r="E2" s="21">
        <v>2.11</v>
      </c>
      <c r="F2" s="21" t="s">
        <v>148</v>
      </c>
      <c r="G2" s="21" t="s">
        <v>149</v>
      </c>
      <c r="H2" t="s">
        <v>180</v>
      </c>
      <c r="I2" s="28" t="s">
        <v>97</v>
      </c>
      <c r="J2" s="31">
        <v>39</v>
      </c>
      <c r="K2" s="31">
        <v>95</v>
      </c>
      <c r="L2" s="21">
        <v>42</v>
      </c>
      <c r="M2" s="21">
        <v>86</v>
      </c>
      <c r="N2" s="21">
        <v>36990608</v>
      </c>
    </row>
    <row r="3" spans="1:14" x14ac:dyDescent="0.2">
      <c r="A3" s="28" t="s">
        <v>152</v>
      </c>
      <c r="B3">
        <v>2023</v>
      </c>
      <c r="C3" s="21">
        <v>0.69499999999999995</v>
      </c>
      <c r="D3" s="21">
        <v>0.39</v>
      </c>
      <c r="E3" s="21">
        <v>1.2410000000000001</v>
      </c>
      <c r="F3" s="21" t="s">
        <v>148</v>
      </c>
      <c r="G3" s="28" t="s">
        <v>149</v>
      </c>
      <c r="H3" t="s">
        <v>180</v>
      </c>
      <c r="I3" s="28" t="s">
        <v>97</v>
      </c>
      <c r="J3" s="21">
        <v>21</v>
      </c>
      <c r="K3" s="21">
        <v>58</v>
      </c>
      <c r="L3" s="21">
        <v>26</v>
      </c>
      <c r="M3" s="21">
        <v>59</v>
      </c>
      <c r="N3" s="21">
        <v>36795843</v>
      </c>
    </row>
    <row r="4" spans="1:14" x14ac:dyDescent="0.2">
      <c r="A4" s="10" t="s">
        <v>150</v>
      </c>
      <c r="B4" s="10">
        <v>2023</v>
      </c>
      <c r="C4" s="10">
        <v>0.64</v>
      </c>
      <c r="D4" s="10">
        <v>0.18</v>
      </c>
      <c r="E4" s="10">
        <v>2.2799999999999998</v>
      </c>
      <c r="F4" s="21" t="s">
        <v>148</v>
      </c>
      <c r="G4" s="10" t="s">
        <v>149</v>
      </c>
      <c r="H4" s="10" t="s">
        <v>177</v>
      </c>
      <c r="I4" s="10" t="s">
        <v>97</v>
      </c>
      <c r="J4" s="30">
        <v>4</v>
      </c>
      <c r="K4" s="30">
        <v>25</v>
      </c>
      <c r="L4" s="10">
        <v>6</v>
      </c>
      <c r="M4" s="10">
        <v>27</v>
      </c>
      <c r="N4" s="10">
        <v>36990608</v>
      </c>
    </row>
  </sheetData>
  <conditionalFormatting sqref="N2">
    <cfRule type="duplicateValues" dxfId="8" priority="2"/>
  </conditionalFormatting>
  <conditionalFormatting sqref="N4">
    <cfRule type="duplicateValues" dxfId="7" priority="1"/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81761-A6CE-4348-AEDE-F6FEB8C0396C}">
  <dimension ref="A1:M4"/>
  <sheetViews>
    <sheetView topLeftCell="B1" workbookViewId="0">
      <selection activeCell="I10" sqref="I10"/>
    </sheetView>
  </sheetViews>
  <sheetFormatPr baseColWidth="10" defaultColWidth="11.5" defaultRowHeight="15" x14ac:dyDescent="0.2"/>
  <sheetData>
    <row r="1" spans="1:13" x14ac:dyDescent="0.2">
      <c r="A1" s="16" t="s">
        <v>78</v>
      </c>
      <c r="B1" s="10" t="s">
        <v>79</v>
      </c>
      <c r="C1" s="16" t="s">
        <v>80</v>
      </c>
      <c r="D1" s="16" t="s">
        <v>81</v>
      </c>
      <c r="E1" s="16" t="s">
        <v>82</v>
      </c>
      <c r="F1" s="10" t="s">
        <v>10</v>
      </c>
      <c r="G1" s="10" t="s">
        <v>11</v>
      </c>
      <c r="H1" s="11" t="s">
        <v>83</v>
      </c>
      <c r="I1" s="11" t="s">
        <v>85</v>
      </c>
      <c r="J1" s="11" t="s">
        <v>110</v>
      </c>
      <c r="K1" s="11" t="s">
        <v>84</v>
      </c>
      <c r="L1" s="11" t="s">
        <v>111</v>
      </c>
      <c r="M1" s="10" t="s">
        <v>86</v>
      </c>
    </row>
    <row r="2" spans="1:13" x14ac:dyDescent="0.2">
      <c r="A2" s="10" t="s">
        <v>151</v>
      </c>
      <c r="B2">
        <v>2022</v>
      </c>
      <c r="C2" s="10">
        <v>0.72</v>
      </c>
      <c r="D2" s="10">
        <v>0.55000000000000004</v>
      </c>
      <c r="E2" s="10">
        <v>0.95</v>
      </c>
      <c r="F2" s="10" t="s">
        <v>148</v>
      </c>
      <c r="G2" s="10" t="s">
        <v>149</v>
      </c>
      <c r="H2" s="10" t="s">
        <v>97</v>
      </c>
      <c r="I2" s="10">
        <v>92</v>
      </c>
      <c r="J2" s="10">
        <v>224</v>
      </c>
      <c r="K2" s="13">
        <v>120</v>
      </c>
      <c r="L2" s="10">
        <v>232</v>
      </c>
      <c r="M2" s="26">
        <v>35405085</v>
      </c>
    </row>
    <row r="3" spans="1:13" x14ac:dyDescent="0.2">
      <c r="A3" s="21" t="s">
        <v>150</v>
      </c>
      <c r="B3">
        <v>2023</v>
      </c>
      <c r="C3" s="21">
        <v>0.79</v>
      </c>
      <c r="D3" s="21">
        <v>0.56999999999999995</v>
      </c>
      <c r="E3" s="21">
        <v>1.1000000000000001</v>
      </c>
      <c r="F3" s="10" t="s">
        <v>148</v>
      </c>
      <c r="G3" s="21" t="s">
        <v>149</v>
      </c>
      <c r="H3" s="28" t="s">
        <v>97</v>
      </c>
      <c r="I3" s="21">
        <v>65</v>
      </c>
      <c r="J3" s="21">
        <v>133</v>
      </c>
      <c r="K3" s="21">
        <v>75</v>
      </c>
      <c r="L3" s="21">
        <v>137</v>
      </c>
      <c r="M3" s="21">
        <v>36990608</v>
      </c>
    </row>
    <row r="4" spans="1:13" x14ac:dyDescent="0.2">
      <c r="A4" s="28" t="s">
        <v>152</v>
      </c>
      <c r="B4">
        <v>2023</v>
      </c>
      <c r="C4" s="21">
        <v>0.69599999999999995</v>
      </c>
      <c r="D4" s="21">
        <v>0.57399999999999995</v>
      </c>
      <c r="E4" s="21">
        <v>0.84499999999999997</v>
      </c>
      <c r="F4" s="10" t="s">
        <v>148</v>
      </c>
      <c r="G4" s="28" t="s">
        <v>149</v>
      </c>
      <c r="H4" s="28" t="s">
        <v>97</v>
      </c>
      <c r="I4" s="21">
        <v>181</v>
      </c>
      <c r="J4" s="21">
        <v>432</v>
      </c>
      <c r="K4" s="21">
        <v>239</v>
      </c>
      <c r="L4" s="21">
        <v>445</v>
      </c>
      <c r="M4" s="21">
        <v>36795843</v>
      </c>
    </row>
  </sheetData>
  <conditionalFormatting sqref="M2">
    <cfRule type="duplicateValues" dxfId="6" priority="1"/>
    <cfRule type="duplicateValues" dxfId="5" priority="2"/>
  </conditionalFormatting>
  <conditionalFormatting sqref="M3">
    <cfRule type="duplicateValues" dxfId="4" priority="3"/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5521D-32FD-E84D-ADE6-2F9F265FEA40}">
  <dimension ref="A1:M3"/>
  <sheetViews>
    <sheetView topLeftCell="B1" workbookViewId="0">
      <selection activeCell="I15" sqref="I15"/>
    </sheetView>
  </sheetViews>
  <sheetFormatPr baseColWidth="10" defaultColWidth="11.5" defaultRowHeight="15" x14ac:dyDescent="0.2"/>
  <sheetData>
    <row r="1" spans="1:13" x14ac:dyDescent="0.2">
      <c r="A1" s="16" t="s">
        <v>78</v>
      </c>
      <c r="B1" s="10" t="s">
        <v>79</v>
      </c>
      <c r="C1" s="16" t="s">
        <v>80</v>
      </c>
      <c r="D1" s="16" t="s">
        <v>81</v>
      </c>
      <c r="E1" s="16" t="s">
        <v>82</v>
      </c>
      <c r="F1" s="10" t="s">
        <v>10</v>
      </c>
      <c r="G1" s="10" t="s">
        <v>11</v>
      </c>
      <c r="H1" s="11" t="s">
        <v>83</v>
      </c>
      <c r="I1" s="11" t="s">
        <v>85</v>
      </c>
      <c r="J1" s="11" t="s">
        <v>110</v>
      </c>
      <c r="K1" s="11" t="s">
        <v>84</v>
      </c>
      <c r="L1" s="11" t="s">
        <v>111</v>
      </c>
      <c r="M1" s="10" t="s">
        <v>86</v>
      </c>
    </row>
    <row r="2" spans="1:13" x14ac:dyDescent="0.2">
      <c r="A2" s="21" t="s">
        <v>150</v>
      </c>
      <c r="B2">
        <v>2023</v>
      </c>
      <c r="C2" s="21">
        <v>1.18</v>
      </c>
      <c r="D2" s="21">
        <v>0.66</v>
      </c>
      <c r="E2" s="21">
        <v>2.11</v>
      </c>
      <c r="F2" s="21" t="s">
        <v>148</v>
      </c>
      <c r="G2" s="21" t="s">
        <v>149</v>
      </c>
      <c r="H2" s="28" t="s">
        <v>97</v>
      </c>
      <c r="I2" s="31">
        <v>39</v>
      </c>
      <c r="J2" s="31">
        <v>95</v>
      </c>
      <c r="K2" s="21">
        <v>42</v>
      </c>
      <c r="L2" s="21">
        <v>86</v>
      </c>
      <c r="M2" s="21">
        <v>36990608</v>
      </c>
    </row>
    <row r="3" spans="1:13" x14ac:dyDescent="0.2">
      <c r="A3" s="28" t="s">
        <v>152</v>
      </c>
      <c r="B3">
        <v>2023</v>
      </c>
      <c r="C3" s="21">
        <v>0.69499999999999995</v>
      </c>
      <c r="D3" s="21">
        <v>0.39</v>
      </c>
      <c r="E3" s="21">
        <v>1.2410000000000001</v>
      </c>
      <c r="F3" s="21" t="s">
        <v>148</v>
      </c>
      <c r="G3" s="28" t="s">
        <v>149</v>
      </c>
      <c r="H3" s="28" t="s">
        <v>97</v>
      </c>
      <c r="I3" s="21">
        <v>21</v>
      </c>
      <c r="J3" s="21">
        <v>58</v>
      </c>
      <c r="K3" s="21">
        <v>26</v>
      </c>
      <c r="L3" s="21">
        <v>59</v>
      </c>
      <c r="M3" s="21">
        <v>36795843</v>
      </c>
    </row>
  </sheetData>
  <conditionalFormatting sqref="M2">
    <cfRule type="duplicateValues" dxfId="3" priority="1"/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A11-085A-8B4F-8B95-A3881E6199CC}">
  <dimension ref="A1:M4"/>
  <sheetViews>
    <sheetView topLeftCell="B1" workbookViewId="0">
      <selection activeCell="I1" sqref="I1:L1"/>
    </sheetView>
  </sheetViews>
  <sheetFormatPr baseColWidth="10" defaultColWidth="11.5" defaultRowHeight="15" x14ac:dyDescent="0.2"/>
  <sheetData>
    <row r="1" spans="1:13" x14ac:dyDescent="0.2">
      <c r="A1" s="16" t="s">
        <v>78</v>
      </c>
      <c r="B1" s="10" t="s">
        <v>79</v>
      </c>
      <c r="C1" s="16" t="s">
        <v>80</v>
      </c>
      <c r="D1" s="16" t="s">
        <v>81</v>
      </c>
      <c r="E1" s="16" t="s">
        <v>82</v>
      </c>
      <c r="F1" s="10" t="s">
        <v>10</v>
      </c>
      <c r="G1" s="10" t="s">
        <v>11</v>
      </c>
      <c r="H1" s="11" t="s">
        <v>83</v>
      </c>
      <c r="I1" s="11" t="s">
        <v>85</v>
      </c>
      <c r="J1" s="11" t="s">
        <v>110</v>
      </c>
      <c r="K1" s="11" t="s">
        <v>84</v>
      </c>
      <c r="L1" s="11" t="s">
        <v>111</v>
      </c>
      <c r="M1" s="10" t="s">
        <v>86</v>
      </c>
    </row>
    <row r="2" spans="1:13" x14ac:dyDescent="0.2">
      <c r="A2" s="10" t="s">
        <v>151</v>
      </c>
      <c r="B2">
        <v>2022</v>
      </c>
      <c r="C2" s="10">
        <v>0.83</v>
      </c>
      <c r="D2" s="10">
        <v>0.5</v>
      </c>
      <c r="E2" s="10">
        <v>1.39</v>
      </c>
      <c r="F2" s="10" t="s">
        <v>148</v>
      </c>
      <c r="G2" s="10" t="s">
        <v>149</v>
      </c>
      <c r="H2" s="10" t="s">
        <v>97</v>
      </c>
      <c r="I2" s="10">
        <v>29</v>
      </c>
      <c r="J2" s="10">
        <v>131</v>
      </c>
      <c r="K2" s="10">
        <v>31</v>
      </c>
      <c r="L2" s="10">
        <v>123</v>
      </c>
      <c r="M2" s="26">
        <v>35405085</v>
      </c>
    </row>
    <row r="3" spans="1:13" x14ac:dyDescent="0.2">
      <c r="A3" s="21" t="s">
        <v>150</v>
      </c>
      <c r="B3">
        <v>2023</v>
      </c>
      <c r="C3" s="21">
        <v>0.56999999999999995</v>
      </c>
      <c r="D3" s="21">
        <v>0.28999999999999998</v>
      </c>
      <c r="E3" s="21">
        <v>1.1200000000000001</v>
      </c>
      <c r="F3" s="10" t="s">
        <v>148</v>
      </c>
      <c r="G3" s="21" t="s">
        <v>149</v>
      </c>
      <c r="H3" s="28" t="s">
        <v>97</v>
      </c>
      <c r="I3" s="31">
        <v>39</v>
      </c>
      <c r="J3" s="31">
        <v>95</v>
      </c>
      <c r="K3" s="21">
        <v>42</v>
      </c>
      <c r="L3" s="21">
        <v>86</v>
      </c>
      <c r="M3" s="21">
        <v>36990608</v>
      </c>
    </row>
    <row r="4" spans="1:13" x14ac:dyDescent="0.2">
      <c r="A4" s="28" t="s">
        <v>152</v>
      </c>
      <c r="B4">
        <v>2023</v>
      </c>
      <c r="C4" s="21">
        <v>0.755</v>
      </c>
      <c r="D4" s="21">
        <v>0.44700000000000001</v>
      </c>
      <c r="E4" s="21">
        <v>1.274</v>
      </c>
      <c r="F4" s="10" t="s">
        <v>148</v>
      </c>
      <c r="G4" s="28" t="s">
        <v>149</v>
      </c>
      <c r="H4" s="28" t="s">
        <v>97</v>
      </c>
      <c r="I4" s="21">
        <v>25</v>
      </c>
      <c r="J4" s="21">
        <v>126</v>
      </c>
      <c r="K4" s="21">
        <v>32</v>
      </c>
      <c r="L4" s="21">
        <v>121</v>
      </c>
      <c r="M4" s="21">
        <v>36795843</v>
      </c>
    </row>
  </sheetData>
  <conditionalFormatting sqref="M2">
    <cfRule type="duplicateValues" dxfId="2" priority="1"/>
    <cfRule type="duplicateValues" dxfId="1" priority="2"/>
  </conditionalFormatting>
  <conditionalFormatting sqref="M3">
    <cfRule type="duplicateValues" dxfId="0" priority="3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1372f5f-8e19-4efb-8afe-8eac20a980c4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Outcomes</vt:lpstr>
      <vt:lpstr>PFS</vt:lpstr>
      <vt:lpstr>E_D_rPFS</vt:lpstr>
      <vt:lpstr>OS</vt:lpstr>
      <vt:lpstr>E_D_OS</vt:lpstr>
      <vt:lpstr>SUBG_TH_rPFS</vt:lpstr>
      <vt:lpstr>SUBG_TH_OS</vt:lpstr>
      <vt:lpstr>SUBG_TH_LV_OS</vt:lpstr>
      <vt:lpstr>SUBG_TH_HV_OS</vt:lpstr>
      <vt:lpstr>SUBG_TH_LV_rPFS</vt:lpstr>
      <vt:lpstr>SUBG_TH_HV_rPFS</vt:lpstr>
      <vt:lpstr>SUBG_TH_S_OS</vt:lpstr>
      <vt:lpstr>SUBG_TH_M_OS</vt:lpstr>
      <vt:lpstr>SUBG_V_OS</vt:lpstr>
      <vt:lpstr>SUBG_V_rPFS</vt:lpstr>
      <vt:lpstr>V_L_rPFS</vt:lpstr>
      <vt:lpstr>V_H_rPFS</vt:lpstr>
      <vt:lpstr>V_L_OS</vt:lpstr>
      <vt:lpstr>V_H_OS</vt:lpstr>
      <vt:lpstr>SUBG_M_OS</vt:lpstr>
      <vt:lpstr>SUBG_M_rPFS</vt:lpstr>
      <vt:lpstr>M_OS</vt:lpstr>
      <vt:lpstr>S_OS</vt:lpstr>
      <vt:lpstr>M_rPFS</vt:lpstr>
      <vt:lpstr>S_rPFS</vt:lpstr>
      <vt:lpstr>AE 3 or high</vt:lpstr>
      <vt:lpstr>Old_rPFS</vt:lpstr>
      <vt:lpstr>Young_rPFS</vt:lpstr>
      <vt:lpstr>Old_OS</vt:lpstr>
      <vt:lpstr>Young_OS</vt:lpstr>
      <vt:lpstr>SUBG_GS_rPFS</vt:lpstr>
      <vt:lpstr>SUBG_GS_OS</vt:lpstr>
      <vt:lpstr>SUBG_PS_rPFS</vt:lpstr>
      <vt:lpstr>SUBG_PS_OS</vt:lpstr>
      <vt:lpstr>GS_H_rPFS</vt:lpstr>
      <vt:lpstr>GS_L_rPFS</vt:lpstr>
      <vt:lpstr>GS_H_OS</vt:lpstr>
      <vt:lpstr>GS_L_OS</vt:lpstr>
      <vt:lpstr>PS0_rPFS</vt:lpstr>
      <vt:lpstr>PS12_rPFS</vt:lpstr>
      <vt:lpstr>PS0_OS</vt:lpstr>
      <vt:lpstr>PS12_OS</vt:lpstr>
      <vt:lpstr>SUBG_SHV_MLV</vt:lpstr>
      <vt:lpstr>SUBG_SHV_SLV</vt:lpstr>
      <vt:lpstr>SUBG_SHV_MHV</vt:lpstr>
      <vt:lpstr>SUBG_SLV_MHV</vt:lpstr>
      <vt:lpstr>SUBG_SLV_MLV</vt:lpstr>
      <vt:lpstr>SUBG_MHV_MLV</vt:lpstr>
      <vt:lpstr>SHV_OS</vt:lpstr>
      <vt:lpstr>MHV_OS</vt:lpstr>
      <vt:lpstr>SLV_OS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Rabbia Siddiqi</dc:creator>
  <cp:keywords/>
  <dc:description/>
  <cp:lastModifiedBy>Microsoft Office User</cp:lastModifiedBy>
  <cp:revision>2</cp:revision>
  <dcterms:created xsi:type="dcterms:W3CDTF">2015-06-05T18:17:20Z</dcterms:created>
  <dcterms:modified xsi:type="dcterms:W3CDTF">2024-08-22T16:11:18Z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